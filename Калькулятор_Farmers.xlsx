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osyak\Desktop\TL\ЗП\"/>
    </mc:Choice>
  </mc:AlternateContent>
  <xr:revisionPtr revIDLastSave="0" documentId="13_ncr:1_{745F3466-572D-445D-A743-BCDA3C085BD9}" xr6:coauthVersionLast="36" xr6:coauthVersionMax="36" xr10:uidLastSave="{00000000-0000-0000-0000-000000000000}"/>
  <bookViews>
    <workbookView xWindow="0" yWindow="0" windowWidth="19200" windowHeight="6930" xr2:uid="{0A2FD413-93B7-4FBD-B9DB-BC54EFFB529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H4" i="1"/>
  <c r="H5" i="1" s="1"/>
  <c r="F4" i="1" l="1"/>
  <c r="B3" i="1" l="1"/>
  <c r="G4" i="1" l="1"/>
  <c r="N71" i="1" l="1"/>
  <c r="N72" i="1"/>
  <c r="N73" i="1"/>
  <c r="N54" i="1"/>
  <c r="N74" i="1"/>
  <c r="N75" i="1"/>
  <c r="N76" i="1"/>
  <c r="N77" i="1"/>
  <c r="N78" i="1"/>
  <c r="N79" i="1"/>
  <c r="N80" i="1"/>
  <c r="N81" i="1"/>
  <c r="N82" i="1"/>
  <c r="N83" i="1"/>
  <c r="N84" i="1"/>
  <c r="N85" i="1"/>
  <c r="N70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54" i="1"/>
  <c r="K84" i="1" l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L55" i="1"/>
  <c r="K54" i="1"/>
  <c r="L53" i="1"/>
  <c r="M53" i="1" l="1"/>
  <c r="N53" i="1"/>
  <c r="M55" i="1"/>
  <c r="N55" i="1"/>
  <c r="K53" i="1"/>
  <c r="K55" i="1"/>
  <c r="L52" i="1"/>
  <c r="L56" i="1"/>
  <c r="N56" i="1" s="1"/>
  <c r="K52" i="1" l="1"/>
  <c r="N52" i="1"/>
  <c r="L51" i="1"/>
  <c r="M52" i="1"/>
  <c r="M56" i="1"/>
  <c r="K56" i="1"/>
  <c r="L57" i="1"/>
  <c r="N57" i="1" s="1"/>
  <c r="M51" i="1" l="1"/>
  <c r="N51" i="1"/>
  <c r="K51" i="1"/>
  <c r="L50" i="1"/>
  <c r="M57" i="1"/>
  <c r="K57" i="1"/>
  <c r="L58" i="1"/>
  <c r="N58" i="1" s="1"/>
  <c r="M50" i="1" l="1"/>
  <c r="N50" i="1"/>
  <c r="K50" i="1"/>
  <c r="L49" i="1"/>
  <c r="M58" i="1"/>
  <c r="K58" i="1"/>
  <c r="L59" i="1"/>
  <c r="N59" i="1" s="1"/>
  <c r="M49" i="1" l="1"/>
  <c r="N49" i="1"/>
  <c r="L48" i="1"/>
  <c r="K49" i="1"/>
  <c r="M59" i="1"/>
  <c r="K59" i="1"/>
  <c r="L60" i="1"/>
  <c r="N60" i="1" s="1"/>
  <c r="M48" i="1" l="1"/>
  <c r="N48" i="1"/>
  <c r="K48" i="1"/>
  <c r="L47" i="1"/>
  <c r="M60" i="1"/>
  <c r="K60" i="1"/>
  <c r="L61" i="1"/>
  <c r="N61" i="1" s="1"/>
  <c r="M47" i="1" l="1"/>
  <c r="N47" i="1"/>
  <c r="L46" i="1"/>
  <c r="K47" i="1"/>
  <c r="M61" i="1"/>
  <c r="K61" i="1"/>
  <c r="L62" i="1"/>
  <c r="N62" i="1" s="1"/>
  <c r="M46" i="1" l="1"/>
  <c r="N46" i="1"/>
  <c r="K46" i="1"/>
  <c r="L45" i="1"/>
  <c r="M62" i="1"/>
  <c r="L63" i="1"/>
  <c r="N63" i="1" s="1"/>
  <c r="K62" i="1"/>
  <c r="M45" i="1" l="1"/>
  <c r="N45" i="1"/>
  <c r="L44" i="1"/>
  <c r="K45" i="1"/>
  <c r="L43" i="1"/>
  <c r="K44" i="1"/>
  <c r="M63" i="1"/>
  <c r="K63" i="1"/>
  <c r="L64" i="1"/>
  <c r="N64" i="1" s="1"/>
  <c r="M43" i="1" l="1"/>
  <c r="N43" i="1"/>
  <c r="M44" i="1"/>
  <c r="N44" i="1"/>
  <c r="L42" i="1"/>
  <c r="K43" i="1"/>
  <c r="M64" i="1"/>
  <c r="K64" i="1"/>
  <c r="L65" i="1"/>
  <c r="N65" i="1" s="1"/>
  <c r="M42" i="1" l="1"/>
  <c r="N42" i="1"/>
  <c r="K42" i="1"/>
  <c r="L41" i="1"/>
  <c r="M65" i="1"/>
  <c r="K65" i="1"/>
  <c r="L66" i="1"/>
  <c r="N66" i="1" s="1"/>
  <c r="M41" i="1" l="1"/>
  <c r="N41" i="1"/>
  <c r="K41" i="1"/>
  <c r="L40" i="1"/>
  <c r="M66" i="1"/>
  <c r="L67" i="1"/>
  <c r="N67" i="1" s="1"/>
  <c r="K66" i="1"/>
  <c r="M40" i="1" l="1"/>
  <c r="N40" i="1"/>
  <c r="K40" i="1"/>
  <c r="L39" i="1"/>
  <c r="M67" i="1"/>
  <c r="K67" i="1"/>
  <c r="L68" i="1"/>
  <c r="N68" i="1" s="1"/>
  <c r="M39" i="1" l="1"/>
  <c r="N39" i="1"/>
  <c r="L38" i="1"/>
  <c r="K39" i="1"/>
  <c r="M68" i="1"/>
  <c r="K68" i="1"/>
  <c r="L69" i="1"/>
  <c r="N69" i="1" s="1"/>
  <c r="M38" i="1" l="1"/>
  <c r="N38" i="1"/>
  <c r="K38" i="1"/>
  <c r="L37" i="1"/>
  <c r="M69" i="1"/>
  <c r="K69" i="1"/>
  <c r="M37" i="1" l="1"/>
  <c r="N37" i="1"/>
  <c r="K37" i="1"/>
  <c r="L36" i="1"/>
  <c r="M36" i="1" l="1"/>
  <c r="N36" i="1"/>
  <c r="L35" i="1"/>
  <c r="K36" i="1"/>
  <c r="M35" i="1" l="1"/>
  <c r="N35" i="1"/>
  <c r="L34" i="1"/>
  <c r="K35" i="1"/>
  <c r="M34" i="1" l="1"/>
  <c r="F5" i="1" s="1"/>
  <c r="F6" i="1" s="1"/>
  <c r="N34" i="1"/>
  <c r="L33" i="1"/>
  <c r="K34" i="1"/>
  <c r="M33" i="1" l="1"/>
  <c r="N33" i="1"/>
  <c r="K33" i="1"/>
  <c r="L32" i="1"/>
  <c r="M32" i="1" l="1"/>
  <c r="N32" i="1"/>
  <c r="K32" i="1"/>
  <c r="L31" i="1"/>
  <c r="M31" i="1" l="1"/>
  <c r="N31" i="1"/>
  <c r="K31" i="1"/>
  <c r="L30" i="1"/>
  <c r="M30" i="1" l="1"/>
  <c r="N30" i="1"/>
  <c r="K30" i="1"/>
  <c r="L29" i="1"/>
  <c r="M29" i="1" l="1"/>
  <c r="N29" i="1"/>
  <c r="L28" i="1"/>
  <c r="K29" i="1"/>
  <c r="M28" i="1" l="1"/>
  <c r="F7" i="1" s="1"/>
  <c r="N28" i="1"/>
  <c r="K28" i="1"/>
  <c r="L27" i="1"/>
  <c r="M27" i="1" l="1"/>
  <c r="N27" i="1"/>
  <c r="L26" i="1"/>
  <c r="L25" i="1" s="1"/>
  <c r="K27" i="1"/>
  <c r="K26" i="1" l="1"/>
  <c r="M25" i="1"/>
  <c r="N25" i="1"/>
  <c r="M26" i="1"/>
  <c r="N26" i="1"/>
  <c r="L24" i="1"/>
  <c r="K25" i="1"/>
  <c r="M24" i="1" l="1"/>
  <c r="N24" i="1"/>
  <c r="L23" i="1"/>
  <c r="K24" i="1"/>
  <c r="M23" i="1" l="1"/>
  <c r="N23" i="1"/>
  <c r="L22" i="1"/>
  <c r="K23" i="1"/>
  <c r="M22" i="1" l="1"/>
  <c r="N22" i="1"/>
  <c r="L21" i="1"/>
  <c r="K22" i="1"/>
  <c r="M21" i="1" l="1"/>
  <c r="N21" i="1"/>
  <c r="K21" i="1"/>
  <c r="L20" i="1"/>
  <c r="M20" i="1" l="1"/>
  <c r="N20" i="1"/>
  <c r="K20" i="1"/>
  <c r="L19" i="1"/>
  <c r="M19" i="1" l="1"/>
  <c r="N19" i="1"/>
  <c r="K19" i="1"/>
  <c r="L18" i="1"/>
  <c r="M18" i="1" l="1"/>
  <c r="N18" i="1"/>
  <c r="L17" i="1"/>
  <c r="K18" i="1"/>
  <c r="M17" i="1" l="1"/>
  <c r="N17" i="1"/>
  <c r="L16" i="1"/>
  <c r="K17" i="1"/>
  <c r="M16" i="1" l="1"/>
  <c r="N16" i="1"/>
  <c r="L15" i="1"/>
  <c r="K16" i="1"/>
  <c r="M15" i="1" l="1"/>
  <c r="N15" i="1"/>
  <c r="K15" i="1"/>
  <c r="L14" i="1"/>
  <c r="M14" i="1" l="1"/>
  <c r="N14" i="1"/>
  <c r="L13" i="1"/>
  <c r="K14" i="1"/>
  <c r="M13" i="1" l="1"/>
  <c r="N13" i="1"/>
  <c r="L12" i="1"/>
  <c r="K13" i="1"/>
  <c r="M12" i="1" l="1"/>
  <c r="N12" i="1"/>
  <c r="L11" i="1"/>
  <c r="K12" i="1"/>
  <c r="M11" i="1" l="1"/>
  <c r="N11" i="1"/>
  <c r="L10" i="1"/>
  <c r="K11" i="1"/>
  <c r="M10" i="1" l="1"/>
  <c r="N10" i="1"/>
  <c r="K10" i="1"/>
  <c r="L9" i="1"/>
  <c r="M9" i="1" l="1"/>
  <c r="N9" i="1"/>
  <c r="K9" i="1"/>
  <c r="L8" i="1"/>
  <c r="M8" i="1" l="1"/>
  <c r="N8" i="1"/>
  <c r="K8" i="1"/>
  <c r="L7" i="1"/>
  <c r="M7" i="1" l="1"/>
  <c r="N7" i="1"/>
  <c r="L6" i="1"/>
  <c r="K7" i="1"/>
  <c r="M6" i="1" l="1"/>
  <c r="N6" i="1"/>
  <c r="K6" i="1"/>
  <c r="L5" i="1"/>
  <c r="M5" i="1" l="1"/>
  <c r="N5" i="1"/>
  <c r="K5" i="1"/>
  <c r="L4" i="1"/>
  <c r="M4" i="1" l="1"/>
  <c r="N4" i="1"/>
  <c r="K4" i="1"/>
</calcChain>
</file>

<file path=xl/sharedStrings.xml><?xml version="1.0" encoding="utf-8"?>
<sst xmlns="http://schemas.openxmlformats.org/spreadsheetml/2006/main" count="45" uniqueCount="41">
  <si>
    <t>% выполнения плана</t>
  </si>
  <si>
    <t>сумма процентов</t>
  </si>
  <si>
    <t>% от целевой</t>
  </si>
  <si>
    <t>Сумма премии</t>
  </si>
  <si>
    <t>% выполнения</t>
  </si>
  <si>
    <t>121% и более</t>
  </si>
  <si>
    <t>0,5% за каждый % перевыполнения</t>
  </si>
  <si>
    <t>115-120%</t>
  </si>
  <si>
    <t>2% за каждый % перевыполнения</t>
  </si>
  <si>
    <t>101-114%</t>
  </si>
  <si>
    <t>3% за каждый % перевыполнения</t>
  </si>
  <si>
    <t>91-99%</t>
  </si>
  <si>
    <t>-3% за каждый % недовыполнения</t>
  </si>
  <si>
    <t>85-90%</t>
  </si>
  <si>
    <t>-2% за каждый % недовыполнения</t>
  </si>
  <si>
    <t>план</t>
  </si>
  <si>
    <t>80-84%</t>
  </si>
  <si>
    <t>факт</t>
  </si>
  <si>
    <t>75-79%</t>
  </si>
  <si>
    <t xml:space="preserve">Премия </t>
  </si>
  <si>
    <t>70-74%</t>
  </si>
  <si>
    <t>69% и ниже</t>
  </si>
  <si>
    <t>Оклад</t>
  </si>
  <si>
    <t>Премия</t>
  </si>
  <si>
    <t>За вычетом 13%</t>
  </si>
  <si>
    <t>Заполнять только СИНИЕ поля!</t>
  </si>
  <si>
    <t>Шкала</t>
  </si>
  <si>
    <t>Шкала пологая</t>
  </si>
  <si>
    <t>Премия итог</t>
  </si>
  <si>
    <t>Вес KPI 1</t>
  </si>
  <si>
    <t>Вес KPI 2</t>
  </si>
  <si>
    <t>KPI 1 AV</t>
  </si>
  <si>
    <t>KPI 2(тотал)</t>
  </si>
  <si>
    <t>Вес KPI 3</t>
  </si>
  <si>
    <t>KPI 3 (talk time)</t>
  </si>
  <si>
    <t>Звонков</t>
  </si>
  <si>
    <t>Минут</t>
  </si>
  <si>
    <t>KPI 3 talk-time</t>
  </si>
  <si>
    <t>SQ</t>
  </si>
  <si>
    <t>да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</si>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</sst>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5" fillId="0" borderId="2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9" fontId="7" fillId="4" borderId="3" xfId="0" applyNumberFormat="1" applyFont="1" applyFill="1" applyBorder="1" applyAlignment="1">
      <alignment horizontal="center"/>
    </xf>
    <xf numFmtId="164" fontId="7" fillId="4" borderId="4" xfId="0" applyNumberFormat="1" applyFont="1" applyFill="1" applyBorder="1" applyAlignment="1">
      <alignment horizontal="center"/>
    </xf>
    <xf numFmtId="9" fontId="7" fillId="4" borderId="4" xfId="0" applyNumberFormat="1" applyFont="1" applyFill="1" applyBorder="1" applyAlignment="1">
      <alignment horizontal="center"/>
    </xf>
    <xf numFmtId="3" fontId="1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9" fontId="7" fillId="7" borderId="2" xfId="0" applyNumberFormat="1" applyFont="1" applyFill="1" applyBorder="1" applyAlignment="1">
      <alignment horizontal="center"/>
    </xf>
    <xf numFmtId="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7" fillId="6" borderId="3" xfId="0" applyNumberFormat="1" applyFont="1" applyFill="1" applyBorder="1" applyAlignment="1">
      <alignment horizontal="center"/>
    </xf>
    <xf numFmtId="9" fontId="7" fillId="6" borderId="4" xfId="0" applyNumberFormat="1" applyFont="1" applyFill="1" applyBorder="1" applyAlignment="1">
      <alignment horizontal="center"/>
    </xf>
    <xf numFmtId="9" fontId="7" fillId="7" borderId="3" xfId="0" applyNumberFormat="1" applyFont="1" applyFill="1" applyBorder="1" applyAlignment="1">
      <alignment horizontal="center"/>
    </xf>
    <xf numFmtId="9" fontId="7" fillId="7" borderId="4" xfId="0" applyNumberFormat="1" applyFont="1" applyFill="1" applyBorder="1" applyAlignment="1">
      <alignment horizontal="center"/>
    </xf>
    <xf numFmtId="0" fontId="1" fillId="9" borderId="0" xfId="0" applyFont="1" applyFill="1" applyAlignment="1"/>
    <xf numFmtId="0" fontId="6" fillId="9" borderId="0" xfId="0" applyFont="1" applyFill="1"/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3" fontId="5" fillId="11" borderId="7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  <xf numFmtId="9" fontId="5" fillId="3" borderId="5" xfId="0" applyNumberFormat="1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3" fontId="1" fillId="8" borderId="7" xfId="0" applyNumberFormat="1" applyFont="1" applyFill="1" applyBorder="1" applyAlignment="1">
      <alignment horizontal="center"/>
    </xf>
    <xf numFmtId="9" fontId="4" fillId="3" borderId="7" xfId="0" applyNumberFormat="1" applyFont="1" applyFill="1" applyBorder="1" applyAlignment="1">
      <alignment horizontal="center" vertical="center"/>
    </xf>
    <xf numFmtId="3" fontId="5" fillId="5" borderId="7" xfId="0" applyNumberFormat="1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right"/>
    </xf>
    <xf numFmtId="0" fontId="1" fillId="0" borderId="7" xfId="0" applyFont="1" applyBorder="1" applyAlignment="1"/>
    <xf numFmtId="0" fontId="4" fillId="0" borderId="7" xfId="0" applyFont="1" applyBorder="1" applyAlignment="1">
      <alignment horizontal="center"/>
    </xf>
    <xf numFmtId="9" fontId="0" fillId="0" borderId="0" xfId="1" applyFont="1" applyAlignment="1"/>
    <xf numFmtId="0" fontId="2" fillId="0" borderId="7" xfId="0" applyFont="1" applyBorder="1" applyAlignment="1">
      <alignment horizontal="center"/>
    </xf>
    <xf numFmtId="0" fontId="5" fillId="8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0" borderId="0" xfId="0" applyFont="1" applyBorder="1" applyAlignme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1" fillId="12" borderId="0" xfId="0" applyFont="1" applyFill="1" applyAlignment="1">
      <alignment horizontal="center"/>
    </xf>
    <xf numFmtId="0" fontId="0" fillId="12" borderId="0" xfId="0" applyFont="1" applyFill="1" applyAlignment="1">
      <alignment horizontal="center"/>
    </xf>
    <xf numFmtId="3" fontId="10" fillId="5" borderId="7" xfId="0" applyNumberFormat="1" applyFont="1" applyFill="1" applyBorder="1" applyAlignment="1">
      <alignment horizontal="center"/>
    </xf>
    <xf numFmtId="3" fontId="9" fillId="10" borderId="7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3" fontId="1" fillId="8" borderId="7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C1F0-B4EE-4395-825B-54586D4A5721}">
  <dimension ref="A1:AF239"/>
  <sheetViews>
    <sheetView tabSelected="1" zoomScale="120" zoomScaleNormal="120" workbookViewId="0">
      <selection activeCell="C11" sqref="C11"/>
    </sheetView>
  </sheetViews>
  <sheetFormatPr defaultColWidth="12.59765625" defaultRowHeight="14.25" x14ac:dyDescent="0.45"/>
  <cols>
    <col min="1" max="1" width="19.33203125" style="3" customWidth="1"/>
    <col min="2" max="2" width="12.59765625" style="3"/>
    <col min="3" max="3" width="15.86328125" style="3" customWidth="1"/>
    <col min="4" max="4" width="17.46484375" style="3" customWidth="1"/>
    <col min="5" max="5" width="4.265625" style="3" customWidth="1"/>
    <col min="6" max="6" width="13.265625" style="3" customWidth="1"/>
    <col min="7" max="7" width="19" style="3" customWidth="1"/>
    <col min="8" max="8" width="14.46484375" style="3" customWidth="1"/>
    <col min="9" max="15" width="12.59765625" style="3"/>
    <col min="16" max="16" width="15.33203125" style="3" customWidth="1"/>
    <col min="17" max="17" width="35.73046875" style="3" customWidth="1"/>
    <col min="18" max="18" width="12.59765625" style="3"/>
    <col min="19" max="20" width="0" style="3" hidden="1" customWidth="1"/>
    <col min="21" max="21" width="22.46484375" style="3" hidden="1" customWidth="1"/>
    <col min="22" max="22" width="28.59765625" style="3" customWidth="1"/>
    <col min="23" max="16384" width="12.59765625" style="3"/>
  </cols>
  <sheetData>
    <row r="1" spans="1:32" ht="29" customHeight="1" x14ac:dyDescent="0.75">
      <c r="A1" s="52" t="s">
        <v>25</v>
      </c>
      <c r="B1" s="53"/>
      <c r="C1" s="53"/>
      <c r="D1" s="42"/>
      <c r="E1" s="45" t="s">
        <v>38</v>
      </c>
      <c r="F1" s="43" t="s">
        <v>31</v>
      </c>
      <c r="G1" s="43" t="s">
        <v>32</v>
      </c>
      <c r="H1" s="43" t="s">
        <v>34</v>
      </c>
      <c r="J1" s="1"/>
      <c r="K1" s="1"/>
      <c r="L1" s="1"/>
      <c r="M1" s="1"/>
      <c r="N1" s="1"/>
      <c r="O1" s="1"/>
    </row>
    <row r="2" spans="1:32" ht="15.5" customHeight="1" x14ac:dyDescent="0.5">
      <c r="A2" s="29" t="s">
        <v>22</v>
      </c>
      <c r="B2" s="33">
        <v>10000</v>
      </c>
      <c r="C2" s="1"/>
      <c r="D2" s="36" t="s">
        <v>15</v>
      </c>
      <c r="E2" s="36"/>
      <c r="F2" s="37">
        <v>100000</v>
      </c>
      <c r="G2" s="37">
        <v>300000</v>
      </c>
      <c r="H2" s="58">
        <v>30</v>
      </c>
      <c r="I2" s="1"/>
      <c r="J2" s="50" t="s">
        <v>27</v>
      </c>
      <c r="K2" s="50"/>
      <c r="L2" s="50"/>
      <c r="M2" s="50"/>
      <c r="N2" s="34"/>
      <c r="O2" s="1"/>
      <c r="P2" s="50" t="s">
        <v>26</v>
      </c>
      <c r="Q2" s="51"/>
      <c r="S2" s="48" t="s">
        <v>39</v>
      </c>
      <c r="T2" s="41">
        <v>0.5</v>
      </c>
      <c r="U2" s="44">
        <v>0.7</v>
      </c>
    </row>
    <row r="3" spans="1:32" ht="15.75" customHeight="1" x14ac:dyDescent="0.5">
      <c r="A3" s="7" t="s">
        <v>23</v>
      </c>
      <c r="B3" s="31">
        <f>B2</f>
        <v>10000</v>
      </c>
      <c r="C3" s="1"/>
      <c r="D3" s="36" t="s">
        <v>17</v>
      </c>
      <c r="E3" s="46" t="s">
        <v>39</v>
      </c>
      <c r="F3" s="37">
        <v>100000</v>
      </c>
      <c r="G3" s="37">
        <v>300000</v>
      </c>
      <c r="H3" s="58">
        <v>30</v>
      </c>
      <c r="I3" s="1"/>
      <c r="J3" s="4" t="s">
        <v>0</v>
      </c>
      <c r="K3" s="5" t="s">
        <v>1</v>
      </c>
      <c r="L3" s="5" t="s">
        <v>2</v>
      </c>
      <c r="M3" s="5" t="s">
        <v>3</v>
      </c>
      <c r="N3" s="5" t="s">
        <v>3</v>
      </c>
      <c r="O3" s="6"/>
      <c r="P3" s="7" t="s">
        <v>0</v>
      </c>
      <c r="Q3" s="7" t="s">
        <v>2</v>
      </c>
      <c r="S3" s="47" t="s">
        <v>40</v>
      </c>
      <c r="T3" s="41">
        <v>0.8</v>
      </c>
      <c r="U3" s="44">
        <v>0.8</v>
      </c>
      <c r="V3" s="8"/>
      <c r="X3" s="8"/>
      <c r="Y3" s="8"/>
      <c r="Z3" s="8"/>
      <c r="AA3" s="8"/>
      <c r="AB3" s="8"/>
      <c r="AC3" s="8"/>
      <c r="AD3" s="8"/>
      <c r="AE3" s="8"/>
      <c r="AF3" s="8"/>
    </row>
    <row r="4" spans="1:32" ht="15.75" customHeight="1" x14ac:dyDescent="0.5">
      <c r="A4" s="13"/>
      <c r="B4" s="14"/>
      <c r="C4" s="6"/>
      <c r="D4" s="36" t="s">
        <v>4</v>
      </c>
      <c r="E4" s="36"/>
      <c r="F4" s="38">
        <f>IF(E3="ДА",ROUNDDOWN((F3/F2),2),ROUNDDOWN((F3*0.7/F2),2))</f>
        <v>1</v>
      </c>
      <c r="G4" s="38">
        <f>ROUNDDOWN((G3/G2),2)</f>
        <v>1</v>
      </c>
      <c r="H4" s="38">
        <f>ROUNDDOWN((H3/H2),2)</f>
        <v>1</v>
      </c>
      <c r="I4" s="6"/>
      <c r="J4" s="9">
        <v>1.5</v>
      </c>
      <c r="K4" s="10">
        <f t="shared" ref="K4:K84" si="0">L4-100%</f>
        <v>0.68999999999999728</v>
      </c>
      <c r="L4" s="11">
        <f t="shared" ref="L4:L33" si="1">L5+0.5%</f>
        <v>1.6899999999999973</v>
      </c>
      <c r="M4" s="12">
        <f t="shared" ref="M4:M35" si="2">$B$3*$B$5*L4</f>
        <v>10139.999999999984</v>
      </c>
      <c r="N4" s="12">
        <f>$B$3*$B$6*L4</f>
        <v>3379.9999999999945</v>
      </c>
      <c r="O4" s="2"/>
      <c r="P4" s="15" t="s">
        <v>5</v>
      </c>
      <c r="Q4" s="15" t="s">
        <v>6</v>
      </c>
      <c r="T4" s="41">
        <v>1</v>
      </c>
    </row>
    <row r="5" spans="1:32" ht="15.75" customHeight="1" x14ac:dyDescent="0.5">
      <c r="A5" s="16" t="s">
        <v>29</v>
      </c>
      <c r="B5" s="35">
        <v>0.6</v>
      </c>
      <c r="C5" s="1"/>
      <c r="D5" s="32" t="s">
        <v>19</v>
      </c>
      <c r="E5" s="32"/>
      <c r="F5" s="39">
        <f>_xlfn.IFS((AND(F4&lt;121%,F4&gt;68%)),VLOOKUP(F4,J4:M85,4,0),F4&lt;69%,0,F4&gt;120%,(M34+(F4-J34)/2*M54))</f>
        <v>6000</v>
      </c>
      <c r="G5" s="39">
        <f>_xlfn.IFS((AND(G4&lt;121%,G4&gt;68%)),VLOOKUP(G4,J4:N85,5,0),G4&lt;69%,0,G4&gt;120%,(N34+(G4-J34)/2*N54))</f>
        <v>2000</v>
      </c>
      <c r="H5" s="39">
        <f>_xlfn.IFS((AND(H4&lt;121%,H4&gt;68%)),VLOOKUP(H4,J4:N85,5,0),H4&lt;69%,0,H4&gt;120%,(N34+(H4-J34)/2*N54))</f>
        <v>2000</v>
      </c>
      <c r="I5" s="1"/>
      <c r="J5" s="9">
        <v>1.49</v>
      </c>
      <c r="K5" s="10">
        <f t="shared" si="0"/>
        <v>0.68499999999999739</v>
      </c>
      <c r="L5" s="11">
        <f t="shared" si="1"/>
        <v>1.6849999999999974</v>
      </c>
      <c r="M5" s="12">
        <f t="shared" si="2"/>
        <v>10109.999999999984</v>
      </c>
      <c r="N5" s="12">
        <f t="shared" ref="N5:N68" si="3">$B$3*$B$6*L5</f>
        <v>3369.999999999995</v>
      </c>
      <c r="O5" s="2"/>
      <c r="P5" s="15" t="s">
        <v>7</v>
      </c>
      <c r="Q5" s="15" t="s">
        <v>8</v>
      </c>
      <c r="T5" s="41">
        <v>1.1000000000000001</v>
      </c>
      <c r="X5" s="17"/>
    </row>
    <row r="6" spans="1:32" ht="15.75" customHeight="1" x14ac:dyDescent="0.5">
      <c r="A6" s="16" t="s">
        <v>30</v>
      </c>
      <c r="B6" s="35">
        <v>0.2</v>
      </c>
      <c r="C6" s="1"/>
      <c r="D6" s="40" t="s">
        <v>28</v>
      </c>
      <c r="E6" s="40"/>
      <c r="F6" s="54">
        <f>F5+G5+H5</f>
        <v>10000</v>
      </c>
      <c r="G6" s="54"/>
      <c r="H6" s="54"/>
      <c r="I6" s="1"/>
      <c r="J6" s="9">
        <v>1.48</v>
      </c>
      <c r="K6" s="10">
        <f t="shared" si="0"/>
        <v>0.6799999999999975</v>
      </c>
      <c r="L6" s="11">
        <f t="shared" si="1"/>
        <v>1.6799999999999975</v>
      </c>
      <c r="M6" s="12">
        <f t="shared" si="2"/>
        <v>10079.999999999985</v>
      </c>
      <c r="N6" s="12">
        <f t="shared" si="3"/>
        <v>3359.999999999995</v>
      </c>
      <c r="O6" s="2"/>
      <c r="P6" s="15" t="s">
        <v>9</v>
      </c>
      <c r="Q6" s="15" t="s">
        <v>10</v>
      </c>
    </row>
    <row r="7" spans="1:32" ht="15.75" customHeight="1" x14ac:dyDescent="0.5">
      <c r="A7" s="16" t="s">
        <v>33</v>
      </c>
      <c r="B7" s="35">
        <v>0.2</v>
      </c>
      <c r="C7" s="1"/>
      <c r="D7" s="30" t="s">
        <v>24</v>
      </c>
      <c r="E7" s="30"/>
      <c r="F7" s="55">
        <f>F6*0.87</f>
        <v>8700</v>
      </c>
      <c r="G7" s="55"/>
      <c r="H7" s="55"/>
      <c r="I7" s="1"/>
      <c r="J7" s="9">
        <v>1.47</v>
      </c>
      <c r="K7" s="10">
        <f t="shared" si="0"/>
        <v>0.6749999999999976</v>
      </c>
      <c r="L7" s="11">
        <f t="shared" si="1"/>
        <v>1.6749999999999976</v>
      </c>
      <c r="M7" s="12">
        <f t="shared" si="2"/>
        <v>10049.999999999985</v>
      </c>
      <c r="N7" s="12">
        <f t="shared" si="3"/>
        <v>3349.999999999995</v>
      </c>
      <c r="O7" s="2"/>
      <c r="P7" s="18">
        <v>1</v>
      </c>
      <c r="Q7" s="18">
        <v>1</v>
      </c>
      <c r="X7" s="17"/>
    </row>
    <row r="8" spans="1:32" ht="15.75" customHeight="1" x14ac:dyDescent="0.5">
      <c r="A8" s="13"/>
      <c r="B8" s="13"/>
      <c r="C8" s="1"/>
      <c r="I8" s="1"/>
      <c r="J8" s="9">
        <v>1.46</v>
      </c>
      <c r="K8" s="10">
        <f t="shared" si="0"/>
        <v>0.66999999999999771</v>
      </c>
      <c r="L8" s="11">
        <f t="shared" si="1"/>
        <v>1.6699999999999977</v>
      </c>
      <c r="M8" s="12">
        <f t="shared" si="2"/>
        <v>10019.999999999985</v>
      </c>
      <c r="N8" s="12">
        <f t="shared" si="3"/>
        <v>3339.9999999999955</v>
      </c>
      <c r="O8" s="2"/>
      <c r="P8" s="19" t="s">
        <v>11</v>
      </c>
      <c r="Q8" s="19" t="s">
        <v>12</v>
      </c>
    </row>
    <row r="9" spans="1:32" ht="15.75" customHeight="1" x14ac:dyDescent="0.5">
      <c r="A9" s="56" t="s">
        <v>37</v>
      </c>
      <c r="B9" s="57"/>
      <c r="C9" s="1"/>
      <c r="I9" s="1"/>
      <c r="J9" s="9">
        <v>1.45</v>
      </c>
      <c r="K9" s="10">
        <f t="shared" si="0"/>
        <v>0.66499999999999782</v>
      </c>
      <c r="L9" s="11">
        <f t="shared" si="1"/>
        <v>1.6649999999999978</v>
      </c>
      <c r="M9" s="12">
        <f t="shared" si="2"/>
        <v>9989.9999999999873</v>
      </c>
      <c r="N9" s="12">
        <f t="shared" si="3"/>
        <v>3329.9999999999955</v>
      </c>
      <c r="O9" s="2"/>
      <c r="P9" s="19" t="s">
        <v>13</v>
      </c>
      <c r="Q9" s="19" t="s">
        <v>14</v>
      </c>
    </row>
    <row r="10" spans="1:32" ht="15.75" customHeight="1" x14ac:dyDescent="0.5">
      <c r="A10" s="61" t="s">
        <v>35</v>
      </c>
      <c r="B10" s="61" t="s">
        <v>36</v>
      </c>
      <c r="C10" s="1"/>
      <c r="I10" s="1"/>
      <c r="J10" s="9">
        <v>1.44</v>
      </c>
      <c r="K10" s="10">
        <f t="shared" si="0"/>
        <v>0.65999999999999792</v>
      </c>
      <c r="L10" s="11">
        <f t="shared" si="1"/>
        <v>1.6599999999999979</v>
      </c>
      <c r="M10" s="12">
        <f t="shared" si="2"/>
        <v>9959.9999999999873</v>
      </c>
      <c r="N10" s="12">
        <f t="shared" si="3"/>
        <v>3319.9999999999959</v>
      </c>
      <c r="O10" s="2"/>
      <c r="P10" s="19" t="s">
        <v>16</v>
      </c>
      <c r="Q10" s="20">
        <v>0.35</v>
      </c>
    </row>
    <row r="11" spans="1:32" ht="15.75" customHeight="1" x14ac:dyDescent="0.5">
      <c r="A11" s="61">
        <v>35</v>
      </c>
      <c r="B11" s="61">
        <v>205</v>
      </c>
      <c r="C11" s="49"/>
      <c r="D11" s="1"/>
      <c r="E11" s="1"/>
      <c r="F11" s="60"/>
      <c r="G11" s="60"/>
      <c r="I11" s="1"/>
      <c r="J11" s="9">
        <v>1.43</v>
      </c>
      <c r="K11" s="10">
        <f t="shared" si="0"/>
        <v>0.65499999999999803</v>
      </c>
      <c r="L11" s="11">
        <f t="shared" si="1"/>
        <v>1.654999999999998</v>
      </c>
      <c r="M11" s="12">
        <f t="shared" si="2"/>
        <v>9929.9999999999873</v>
      </c>
      <c r="N11" s="12">
        <f t="shared" si="3"/>
        <v>3309.9999999999959</v>
      </c>
      <c r="O11" s="2"/>
      <c r="P11" s="19" t="s">
        <v>18</v>
      </c>
      <c r="Q11" s="20">
        <v>0.25</v>
      </c>
    </row>
    <row r="12" spans="1:32" ht="15.75" customHeight="1" x14ac:dyDescent="0.5">
      <c r="A12" s="61">
        <v>34</v>
      </c>
      <c r="B12" s="61">
        <v>200</v>
      </c>
      <c r="C12" s="59"/>
      <c r="D12" s="1"/>
      <c r="E12" s="1"/>
      <c r="F12" s="59"/>
      <c r="G12" s="59"/>
      <c r="I12" s="1"/>
      <c r="J12" s="9">
        <v>1.42</v>
      </c>
      <c r="K12" s="10">
        <f t="shared" si="0"/>
        <v>0.64999999999999813</v>
      </c>
      <c r="L12" s="11">
        <f t="shared" si="1"/>
        <v>1.6499999999999981</v>
      </c>
      <c r="M12" s="12">
        <f t="shared" si="2"/>
        <v>9899.9999999999891</v>
      </c>
      <c r="N12" s="12">
        <f t="shared" si="3"/>
        <v>3299.9999999999964</v>
      </c>
      <c r="O12" s="2"/>
      <c r="P12" s="19" t="s">
        <v>20</v>
      </c>
      <c r="Q12" s="20">
        <v>0.2</v>
      </c>
    </row>
    <row r="13" spans="1:32" ht="15.75" customHeight="1" x14ac:dyDescent="0.5">
      <c r="A13" s="61">
        <v>33</v>
      </c>
      <c r="B13" s="61">
        <v>195</v>
      </c>
      <c r="C13" s="59"/>
      <c r="F13" s="59"/>
      <c r="G13" s="59"/>
      <c r="I13" s="1"/>
      <c r="J13" s="9">
        <v>1.41</v>
      </c>
      <c r="K13" s="10">
        <f t="shared" si="0"/>
        <v>0.64499999999999824</v>
      </c>
      <c r="L13" s="11">
        <f t="shared" si="1"/>
        <v>1.6449999999999982</v>
      </c>
      <c r="M13" s="12">
        <f t="shared" si="2"/>
        <v>9869.9999999999891</v>
      </c>
      <c r="N13" s="12">
        <f t="shared" si="3"/>
        <v>3289.9999999999964</v>
      </c>
      <c r="O13" s="2"/>
      <c r="P13" s="19" t="s">
        <v>21</v>
      </c>
      <c r="Q13" s="20">
        <v>0</v>
      </c>
    </row>
    <row r="14" spans="1:32" ht="15.75" customHeight="1" x14ac:dyDescent="0.5">
      <c r="A14" s="61">
        <v>32</v>
      </c>
      <c r="B14" s="61">
        <v>190</v>
      </c>
      <c r="C14" s="59"/>
      <c r="F14" s="59"/>
      <c r="G14" s="59"/>
      <c r="I14" s="1"/>
      <c r="J14" s="9">
        <v>1.4</v>
      </c>
      <c r="K14" s="10">
        <f t="shared" si="0"/>
        <v>0.63999999999999835</v>
      </c>
      <c r="L14" s="11">
        <f t="shared" si="1"/>
        <v>1.6399999999999983</v>
      </c>
      <c r="M14" s="12">
        <f t="shared" si="2"/>
        <v>9839.9999999999909</v>
      </c>
      <c r="N14" s="12">
        <f t="shared" si="3"/>
        <v>3279.9999999999968</v>
      </c>
      <c r="O14" s="2"/>
    </row>
    <row r="15" spans="1:32" ht="15.75" customHeight="1" x14ac:dyDescent="0.5">
      <c r="A15" s="61">
        <v>31</v>
      </c>
      <c r="B15" s="61">
        <v>185</v>
      </c>
      <c r="C15" s="59"/>
      <c r="F15" s="59"/>
      <c r="G15" s="59"/>
      <c r="I15" s="1"/>
      <c r="J15" s="9">
        <v>1.39</v>
      </c>
      <c r="K15" s="10">
        <f t="shared" si="0"/>
        <v>0.63499999999999845</v>
      </c>
      <c r="L15" s="11">
        <f t="shared" si="1"/>
        <v>1.6349999999999985</v>
      </c>
      <c r="M15" s="12">
        <f t="shared" si="2"/>
        <v>9809.9999999999909</v>
      </c>
      <c r="N15" s="12">
        <f t="shared" si="3"/>
        <v>3269.9999999999968</v>
      </c>
      <c r="O15" s="2"/>
      <c r="R15" s="1"/>
      <c r="S15" s="1"/>
      <c r="T15" s="1"/>
      <c r="U15" s="21"/>
    </row>
    <row r="16" spans="1:32" ht="15.75" customHeight="1" x14ac:dyDescent="0.5">
      <c r="A16" s="61">
        <v>30</v>
      </c>
      <c r="B16" s="61">
        <v>180</v>
      </c>
      <c r="C16" s="59"/>
      <c r="F16" s="59"/>
      <c r="G16" s="59"/>
      <c r="J16" s="9">
        <v>1.38</v>
      </c>
      <c r="K16" s="10">
        <f t="shared" si="0"/>
        <v>0.62999999999999856</v>
      </c>
      <c r="L16" s="11">
        <f t="shared" si="1"/>
        <v>1.6299999999999986</v>
      </c>
      <c r="M16" s="12">
        <f t="shared" si="2"/>
        <v>9779.9999999999909</v>
      </c>
      <c r="N16" s="12">
        <f t="shared" si="3"/>
        <v>3259.9999999999973</v>
      </c>
      <c r="O16" s="2"/>
      <c r="P16" s="13"/>
      <c r="Q16" s="13"/>
      <c r="R16" s="1"/>
      <c r="S16" s="1"/>
      <c r="T16" s="1"/>
      <c r="U16" s="21"/>
    </row>
    <row r="17" spans="1:21" ht="15.75" customHeight="1" x14ac:dyDescent="0.5">
      <c r="A17" s="61">
        <v>29</v>
      </c>
      <c r="B17" s="61">
        <v>175</v>
      </c>
      <c r="C17" s="49"/>
      <c r="F17" s="49"/>
      <c r="G17" s="49"/>
      <c r="J17" s="9">
        <v>1.37</v>
      </c>
      <c r="K17" s="10">
        <f t="shared" si="0"/>
        <v>0.62499999999999867</v>
      </c>
      <c r="L17" s="11">
        <f t="shared" si="1"/>
        <v>1.6249999999999987</v>
      </c>
      <c r="M17" s="12">
        <f t="shared" si="2"/>
        <v>9749.9999999999927</v>
      </c>
      <c r="N17" s="12">
        <f t="shared" si="3"/>
        <v>3249.9999999999973</v>
      </c>
      <c r="O17" s="2"/>
      <c r="P17" s="13"/>
      <c r="Q17" s="13"/>
      <c r="R17" s="1"/>
      <c r="S17" s="1"/>
      <c r="T17" s="1"/>
      <c r="U17" s="21"/>
    </row>
    <row r="18" spans="1:21" ht="15.75" customHeight="1" x14ac:dyDescent="0.5">
      <c r="A18" s="61">
        <v>28</v>
      </c>
      <c r="B18" s="61">
        <v>170</v>
      </c>
      <c r="J18" s="9">
        <v>1.36</v>
      </c>
      <c r="K18" s="10">
        <f t="shared" si="0"/>
        <v>0.61999999999999877</v>
      </c>
      <c r="L18" s="11">
        <f t="shared" si="1"/>
        <v>1.6199999999999988</v>
      </c>
      <c r="M18" s="12">
        <f t="shared" si="2"/>
        <v>9719.9999999999927</v>
      </c>
      <c r="N18" s="12">
        <f t="shared" si="3"/>
        <v>3239.9999999999977</v>
      </c>
      <c r="O18" s="2"/>
      <c r="P18" s="13"/>
      <c r="Q18" s="13"/>
      <c r="R18" s="1"/>
      <c r="S18" s="1"/>
      <c r="T18" s="1"/>
      <c r="U18" s="21"/>
    </row>
    <row r="19" spans="1:21" ht="15.75" customHeight="1" x14ac:dyDescent="0.5">
      <c r="A19" s="61">
        <v>27</v>
      </c>
      <c r="B19" s="61">
        <v>165</v>
      </c>
      <c r="J19" s="9">
        <v>1.35</v>
      </c>
      <c r="K19" s="10">
        <f t="shared" si="0"/>
        <v>0.61499999999999888</v>
      </c>
      <c r="L19" s="11">
        <f t="shared" si="1"/>
        <v>1.6149999999999989</v>
      </c>
      <c r="M19" s="12">
        <f t="shared" si="2"/>
        <v>9689.9999999999927</v>
      </c>
      <c r="N19" s="12">
        <f t="shared" si="3"/>
        <v>3229.9999999999977</v>
      </c>
      <c r="O19" s="2"/>
      <c r="P19" s="1"/>
      <c r="Q19" s="1"/>
      <c r="R19" s="1"/>
      <c r="S19" s="1"/>
      <c r="T19" s="1"/>
      <c r="U19" s="21"/>
    </row>
    <row r="20" spans="1:21" ht="15.75" customHeight="1" x14ac:dyDescent="0.5">
      <c r="A20" s="61">
        <v>26</v>
      </c>
      <c r="B20" s="61">
        <v>160</v>
      </c>
      <c r="J20" s="9">
        <v>1.34</v>
      </c>
      <c r="K20" s="10">
        <f t="shared" si="0"/>
        <v>0.60999999999999899</v>
      </c>
      <c r="L20" s="11">
        <f t="shared" si="1"/>
        <v>1.609999999999999</v>
      </c>
      <c r="M20" s="12">
        <f t="shared" si="2"/>
        <v>9659.9999999999945</v>
      </c>
      <c r="N20" s="12">
        <f t="shared" si="3"/>
        <v>3219.9999999999982</v>
      </c>
      <c r="O20" s="2"/>
      <c r="P20" s="1"/>
      <c r="Q20" s="1"/>
      <c r="R20" s="1"/>
      <c r="S20" s="1"/>
      <c r="T20" s="1"/>
      <c r="U20" s="21"/>
    </row>
    <row r="21" spans="1:21" ht="15.75" customHeight="1" x14ac:dyDescent="0.5">
      <c r="A21" s="61">
        <v>25</v>
      </c>
      <c r="B21" s="61">
        <v>155</v>
      </c>
      <c r="J21" s="9">
        <v>1.33</v>
      </c>
      <c r="K21" s="10">
        <f t="shared" si="0"/>
        <v>0.60499999999999909</v>
      </c>
      <c r="L21" s="11">
        <f t="shared" si="1"/>
        <v>1.6049999999999991</v>
      </c>
      <c r="M21" s="12">
        <f t="shared" si="2"/>
        <v>9629.9999999999945</v>
      </c>
      <c r="N21" s="12">
        <f t="shared" si="3"/>
        <v>3209.9999999999982</v>
      </c>
      <c r="O21" s="2"/>
      <c r="P21" s="1"/>
      <c r="Q21" s="1"/>
      <c r="R21" s="1"/>
      <c r="S21" s="1"/>
      <c r="T21" s="1"/>
      <c r="U21" s="21"/>
    </row>
    <row r="22" spans="1:21" ht="15.75" x14ac:dyDescent="0.5">
      <c r="A22" s="61">
        <v>24</v>
      </c>
      <c r="B22" s="61">
        <v>150</v>
      </c>
      <c r="J22" s="9">
        <v>1.32</v>
      </c>
      <c r="K22" s="10">
        <f t="shared" si="0"/>
        <v>0.5999999999999992</v>
      </c>
      <c r="L22" s="11">
        <f t="shared" si="1"/>
        <v>1.5999999999999992</v>
      </c>
      <c r="M22" s="12">
        <f t="shared" si="2"/>
        <v>9599.9999999999945</v>
      </c>
      <c r="N22" s="12">
        <f t="shared" si="3"/>
        <v>3199.9999999999982</v>
      </c>
      <c r="O22" s="2"/>
      <c r="P22" s="1"/>
      <c r="Q22" s="1"/>
      <c r="R22" s="1"/>
      <c r="S22" s="1"/>
      <c r="T22" s="1"/>
      <c r="U22" s="21"/>
    </row>
    <row r="23" spans="1:21" ht="15.75" x14ac:dyDescent="0.5">
      <c r="A23" s="61">
        <v>23</v>
      </c>
      <c r="B23" s="61">
        <v>145</v>
      </c>
      <c r="J23" s="9">
        <v>1.31</v>
      </c>
      <c r="K23" s="10">
        <f t="shared" si="0"/>
        <v>0.59499999999999931</v>
      </c>
      <c r="L23" s="11">
        <f t="shared" si="1"/>
        <v>1.5949999999999993</v>
      </c>
      <c r="M23" s="12">
        <f t="shared" si="2"/>
        <v>9569.9999999999964</v>
      </c>
      <c r="N23" s="12">
        <f t="shared" si="3"/>
        <v>3189.9999999999986</v>
      </c>
      <c r="O23" s="2"/>
      <c r="P23" s="1"/>
      <c r="Q23" s="1"/>
      <c r="R23" s="1"/>
      <c r="S23" s="1"/>
      <c r="T23" s="1"/>
      <c r="U23" s="21"/>
    </row>
    <row r="24" spans="1:21" ht="15.75" x14ac:dyDescent="0.5">
      <c r="A24" s="61">
        <v>22</v>
      </c>
      <c r="B24" s="61">
        <v>140</v>
      </c>
      <c r="J24" s="9">
        <v>1.3</v>
      </c>
      <c r="K24" s="10">
        <f t="shared" si="0"/>
        <v>0.58999999999999941</v>
      </c>
      <c r="L24" s="11">
        <f t="shared" si="1"/>
        <v>1.5899999999999994</v>
      </c>
      <c r="M24" s="12">
        <f t="shared" si="2"/>
        <v>9539.9999999999964</v>
      </c>
      <c r="N24" s="12">
        <f t="shared" si="3"/>
        <v>3179.9999999999986</v>
      </c>
      <c r="O24" s="2"/>
      <c r="P24" s="1"/>
      <c r="Q24" s="1"/>
      <c r="R24" s="1"/>
      <c r="S24" s="1"/>
      <c r="T24" s="1"/>
      <c r="U24" s="21"/>
    </row>
    <row r="25" spans="1:21" ht="15.75" x14ac:dyDescent="0.5">
      <c r="A25" s="61">
        <v>21</v>
      </c>
      <c r="B25" s="61">
        <v>135</v>
      </c>
      <c r="J25" s="9">
        <v>1.29</v>
      </c>
      <c r="K25" s="10">
        <f t="shared" si="0"/>
        <v>0.58499999999999952</v>
      </c>
      <c r="L25" s="11">
        <f t="shared" si="1"/>
        <v>1.5849999999999995</v>
      </c>
      <c r="M25" s="12">
        <f t="shared" si="2"/>
        <v>9509.9999999999964</v>
      </c>
      <c r="N25" s="12">
        <f t="shared" si="3"/>
        <v>3169.9999999999991</v>
      </c>
      <c r="O25" s="2"/>
      <c r="P25" s="1"/>
      <c r="Q25" s="1"/>
      <c r="R25" s="1"/>
      <c r="S25" s="1"/>
      <c r="T25" s="1"/>
      <c r="U25" s="22"/>
    </row>
    <row r="26" spans="1:21" ht="15.75" x14ac:dyDescent="0.5">
      <c r="A26" s="61">
        <v>20</v>
      </c>
      <c r="B26" s="61">
        <v>130</v>
      </c>
      <c r="J26" s="9">
        <v>1.28</v>
      </c>
      <c r="K26" s="10">
        <f t="shared" si="0"/>
        <v>0.57999999999999963</v>
      </c>
      <c r="L26" s="11">
        <f t="shared" si="1"/>
        <v>1.5799999999999996</v>
      </c>
      <c r="M26" s="12">
        <f t="shared" si="2"/>
        <v>9479.9999999999982</v>
      </c>
      <c r="N26" s="12">
        <f t="shared" si="3"/>
        <v>3159.9999999999991</v>
      </c>
      <c r="O26" s="2"/>
      <c r="P26" s="1"/>
      <c r="Q26" s="1"/>
      <c r="R26" s="1"/>
      <c r="S26" s="1"/>
      <c r="T26" s="1"/>
      <c r="U26" s="22"/>
    </row>
    <row r="27" spans="1:21" ht="15.75" x14ac:dyDescent="0.5">
      <c r="J27" s="9">
        <v>1.27</v>
      </c>
      <c r="K27" s="10">
        <f t="shared" si="0"/>
        <v>0.57499999999999973</v>
      </c>
      <c r="L27" s="11">
        <f t="shared" si="1"/>
        <v>1.5749999999999997</v>
      </c>
      <c r="M27" s="12">
        <f t="shared" si="2"/>
        <v>9449.9999999999982</v>
      </c>
      <c r="N27" s="12">
        <f t="shared" si="3"/>
        <v>3149.9999999999995</v>
      </c>
      <c r="O27" s="2"/>
      <c r="P27" s="1"/>
      <c r="Q27" s="1"/>
      <c r="R27" s="1"/>
      <c r="S27" s="1"/>
      <c r="T27" s="1"/>
      <c r="U27" s="21"/>
    </row>
    <row r="28" spans="1:21" ht="15.75" x14ac:dyDescent="0.5">
      <c r="J28" s="9">
        <v>1.26</v>
      </c>
      <c r="K28" s="10">
        <f t="shared" si="0"/>
        <v>0.56999999999999984</v>
      </c>
      <c r="L28" s="11">
        <f t="shared" si="1"/>
        <v>1.5699999999999998</v>
      </c>
      <c r="M28" s="12">
        <f t="shared" si="2"/>
        <v>9419.9999999999982</v>
      </c>
      <c r="N28" s="12">
        <f t="shared" si="3"/>
        <v>3139.9999999999995</v>
      </c>
      <c r="O28" s="2"/>
      <c r="P28" s="1"/>
      <c r="Q28" s="1"/>
      <c r="R28" s="1"/>
      <c r="S28" s="1"/>
      <c r="T28" s="1"/>
      <c r="U28" s="1"/>
    </row>
    <row r="29" spans="1:21" ht="15.75" x14ac:dyDescent="0.5">
      <c r="J29" s="9">
        <v>1.25</v>
      </c>
      <c r="K29" s="10">
        <f t="shared" si="0"/>
        <v>0.56499999999999995</v>
      </c>
      <c r="L29" s="11">
        <f t="shared" si="1"/>
        <v>1.5649999999999999</v>
      </c>
      <c r="M29" s="12">
        <f t="shared" si="2"/>
        <v>9390</v>
      </c>
      <c r="N29" s="12">
        <f t="shared" si="3"/>
        <v>3130</v>
      </c>
      <c r="O29" s="2"/>
      <c r="P29" s="1"/>
      <c r="Q29" s="1"/>
      <c r="R29" s="1"/>
      <c r="S29" s="1"/>
      <c r="T29" s="1"/>
      <c r="U29" s="1"/>
    </row>
    <row r="30" spans="1:21" ht="15.75" x14ac:dyDescent="0.5">
      <c r="J30" s="9">
        <v>1.24</v>
      </c>
      <c r="K30" s="10">
        <f t="shared" si="0"/>
        <v>0.56000000000000005</v>
      </c>
      <c r="L30" s="11">
        <f t="shared" si="1"/>
        <v>1.56</v>
      </c>
      <c r="M30" s="12">
        <f t="shared" si="2"/>
        <v>9360</v>
      </c>
      <c r="N30" s="12">
        <f t="shared" si="3"/>
        <v>3120</v>
      </c>
      <c r="O30" s="2"/>
      <c r="P30" s="1"/>
      <c r="Q30" s="1"/>
      <c r="R30" s="1"/>
      <c r="S30" s="1"/>
      <c r="T30" s="1"/>
      <c r="U30" s="1"/>
    </row>
    <row r="31" spans="1:21" ht="15.75" x14ac:dyDescent="0.5">
      <c r="J31" s="9">
        <v>1.23</v>
      </c>
      <c r="K31" s="10">
        <f t="shared" si="0"/>
        <v>0.55500000000000016</v>
      </c>
      <c r="L31" s="11">
        <f t="shared" si="1"/>
        <v>1.5550000000000002</v>
      </c>
      <c r="M31" s="12">
        <f t="shared" si="2"/>
        <v>9330.0000000000018</v>
      </c>
      <c r="N31" s="12">
        <f t="shared" si="3"/>
        <v>3110.0000000000005</v>
      </c>
      <c r="O31" s="2"/>
      <c r="P31" s="1"/>
      <c r="Q31" s="1"/>
      <c r="R31" s="1"/>
      <c r="S31" s="1"/>
      <c r="T31" s="1"/>
      <c r="U31" s="1"/>
    </row>
    <row r="32" spans="1:21" ht="15.75" x14ac:dyDescent="0.5">
      <c r="J32" s="9">
        <v>1.22</v>
      </c>
      <c r="K32" s="10">
        <f t="shared" si="0"/>
        <v>0.55000000000000027</v>
      </c>
      <c r="L32" s="11">
        <f t="shared" si="1"/>
        <v>1.5500000000000003</v>
      </c>
      <c r="M32" s="12">
        <f t="shared" si="2"/>
        <v>9300.0000000000018</v>
      </c>
      <c r="N32" s="12">
        <f t="shared" si="3"/>
        <v>3100.0000000000005</v>
      </c>
      <c r="O32" s="2"/>
      <c r="P32" s="1"/>
      <c r="Q32" s="1"/>
      <c r="R32" s="1"/>
      <c r="S32" s="1"/>
      <c r="T32" s="1"/>
      <c r="U32" s="1"/>
    </row>
    <row r="33" spans="10:21" ht="15.75" x14ac:dyDescent="0.5">
      <c r="J33" s="9">
        <v>1.21</v>
      </c>
      <c r="K33" s="10">
        <f t="shared" si="0"/>
        <v>0.54500000000000037</v>
      </c>
      <c r="L33" s="11">
        <f t="shared" si="1"/>
        <v>1.5450000000000004</v>
      </c>
      <c r="M33" s="12">
        <f t="shared" si="2"/>
        <v>9270.0000000000018</v>
      </c>
      <c r="N33" s="12">
        <f t="shared" si="3"/>
        <v>3090.0000000000009</v>
      </c>
      <c r="O33" s="2"/>
      <c r="P33" s="1"/>
      <c r="Q33" s="1"/>
      <c r="R33" s="1"/>
      <c r="S33" s="1"/>
      <c r="T33" s="1"/>
      <c r="U33" s="1"/>
    </row>
    <row r="34" spans="10:21" ht="15.75" x14ac:dyDescent="0.5">
      <c r="J34" s="9">
        <v>1.2</v>
      </c>
      <c r="K34" s="11">
        <f t="shared" si="0"/>
        <v>0.54000000000000048</v>
      </c>
      <c r="L34" s="11">
        <f t="shared" ref="L34:L39" si="4">L35+2%</f>
        <v>1.5400000000000005</v>
      </c>
      <c r="M34" s="12">
        <f t="shared" si="2"/>
        <v>9240.0000000000036</v>
      </c>
      <c r="N34" s="12">
        <f t="shared" si="3"/>
        <v>3080.0000000000009</v>
      </c>
      <c r="O34" s="2"/>
      <c r="P34" s="1"/>
      <c r="Q34" s="1"/>
      <c r="R34" s="1"/>
      <c r="S34" s="1"/>
      <c r="T34" s="1"/>
      <c r="U34" s="1"/>
    </row>
    <row r="35" spans="10:21" ht="15.75" x14ac:dyDescent="0.5">
      <c r="J35" s="9">
        <v>1.19</v>
      </c>
      <c r="K35" s="11">
        <f t="shared" si="0"/>
        <v>0.52000000000000046</v>
      </c>
      <c r="L35" s="11">
        <f t="shared" si="4"/>
        <v>1.5200000000000005</v>
      </c>
      <c r="M35" s="12">
        <f t="shared" si="2"/>
        <v>9120.0000000000036</v>
      </c>
      <c r="N35" s="12">
        <f t="shared" si="3"/>
        <v>3040.0000000000009</v>
      </c>
      <c r="O35" s="2"/>
      <c r="P35" s="1"/>
      <c r="Q35" s="1"/>
      <c r="R35" s="1"/>
      <c r="S35" s="1"/>
      <c r="T35" s="1"/>
      <c r="U35" s="1"/>
    </row>
    <row r="36" spans="10:21" ht="15.75" x14ac:dyDescent="0.5">
      <c r="J36" s="9">
        <v>1.18</v>
      </c>
      <c r="K36" s="11">
        <f t="shared" si="0"/>
        <v>0.50000000000000044</v>
      </c>
      <c r="L36" s="11">
        <f t="shared" si="4"/>
        <v>1.5000000000000004</v>
      </c>
      <c r="M36" s="12">
        <f t="shared" ref="M36:M67" si="5">$B$3*$B$5*L36</f>
        <v>9000.0000000000018</v>
      </c>
      <c r="N36" s="12">
        <f t="shared" si="3"/>
        <v>3000.0000000000009</v>
      </c>
      <c r="O36" s="2"/>
      <c r="P36" s="1"/>
      <c r="Q36" s="1"/>
      <c r="R36" s="1"/>
      <c r="S36" s="1"/>
      <c r="T36" s="1"/>
      <c r="U36" s="1"/>
    </row>
    <row r="37" spans="10:21" ht="15.75" x14ac:dyDescent="0.5">
      <c r="J37" s="9">
        <v>1.17</v>
      </c>
      <c r="K37" s="11">
        <f t="shared" si="0"/>
        <v>0.48000000000000043</v>
      </c>
      <c r="L37" s="11">
        <f t="shared" si="4"/>
        <v>1.4800000000000004</v>
      </c>
      <c r="M37" s="12">
        <f t="shared" si="5"/>
        <v>8880.0000000000018</v>
      </c>
      <c r="N37" s="12">
        <f t="shared" si="3"/>
        <v>2960.0000000000009</v>
      </c>
      <c r="O37" s="2"/>
      <c r="P37" s="1"/>
      <c r="Q37" s="1"/>
      <c r="R37" s="1"/>
      <c r="S37" s="1"/>
      <c r="T37" s="1"/>
      <c r="U37" s="1"/>
    </row>
    <row r="38" spans="10:21" ht="15.75" x14ac:dyDescent="0.5">
      <c r="J38" s="9">
        <v>1.1599999999999999</v>
      </c>
      <c r="K38" s="11">
        <f t="shared" si="0"/>
        <v>0.46000000000000041</v>
      </c>
      <c r="L38" s="11">
        <f t="shared" si="4"/>
        <v>1.4600000000000004</v>
      </c>
      <c r="M38" s="12">
        <f t="shared" si="5"/>
        <v>8760.0000000000018</v>
      </c>
      <c r="N38" s="12">
        <f t="shared" si="3"/>
        <v>2920.0000000000009</v>
      </c>
      <c r="O38" s="2"/>
      <c r="P38" s="1"/>
      <c r="Q38" s="1"/>
      <c r="R38" s="1"/>
      <c r="S38" s="1"/>
      <c r="T38" s="1"/>
      <c r="U38" s="1"/>
    </row>
    <row r="39" spans="10:21" ht="15.75" x14ac:dyDescent="0.5">
      <c r="J39" s="9">
        <v>1.1499999999999999</v>
      </c>
      <c r="K39" s="11">
        <f t="shared" si="0"/>
        <v>0.44000000000000039</v>
      </c>
      <c r="L39" s="11">
        <f t="shared" si="4"/>
        <v>1.4400000000000004</v>
      </c>
      <c r="M39" s="12">
        <f t="shared" si="5"/>
        <v>8640.0000000000018</v>
      </c>
      <c r="N39" s="12">
        <f t="shared" si="3"/>
        <v>2880.0000000000009</v>
      </c>
      <c r="O39" s="2"/>
      <c r="P39" s="1"/>
      <c r="Q39" s="1"/>
      <c r="R39" s="1"/>
      <c r="S39" s="1"/>
      <c r="T39" s="1"/>
      <c r="U39" s="1"/>
    </row>
    <row r="40" spans="10:21" ht="15.75" x14ac:dyDescent="0.5">
      <c r="J40" s="9">
        <v>1.1399999999999999</v>
      </c>
      <c r="K40" s="11">
        <f t="shared" si="0"/>
        <v>0.42000000000000037</v>
      </c>
      <c r="L40" s="11">
        <f t="shared" ref="L40:L53" si="6">L41+3%</f>
        <v>1.4200000000000004</v>
      </c>
      <c r="M40" s="12">
        <f t="shared" si="5"/>
        <v>8520.0000000000018</v>
      </c>
      <c r="N40" s="12">
        <f t="shared" si="3"/>
        <v>2840.0000000000009</v>
      </c>
      <c r="O40" s="2"/>
      <c r="P40" s="1"/>
      <c r="Q40" s="1"/>
      <c r="R40" s="1"/>
      <c r="S40" s="1"/>
      <c r="T40" s="1"/>
      <c r="U40" s="1"/>
    </row>
    <row r="41" spans="10:21" ht="15.75" x14ac:dyDescent="0.5">
      <c r="J41" s="9">
        <v>1.1299999999999999</v>
      </c>
      <c r="K41" s="11">
        <f t="shared" si="0"/>
        <v>0.39000000000000035</v>
      </c>
      <c r="L41" s="11">
        <f t="shared" si="6"/>
        <v>1.3900000000000003</v>
      </c>
      <c r="M41" s="12">
        <f t="shared" si="5"/>
        <v>8340.0000000000018</v>
      </c>
      <c r="N41" s="12">
        <f t="shared" si="3"/>
        <v>2780.0000000000009</v>
      </c>
      <c r="O41" s="2"/>
      <c r="P41" s="1"/>
      <c r="Q41" s="1"/>
      <c r="R41" s="1"/>
      <c r="S41" s="1"/>
      <c r="T41" s="1"/>
      <c r="U41" s="1"/>
    </row>
    <row r="42" spans="10:21" ht="15.75" x14ac:dyDescent="0.5">
      <c r="J42" s="9">
        <v>1.1200000000000001</v>
      </c>
      <c r="K42" s="11">
        <f t="shared" si="0"/>
        <v>0.36000000000000032</v>
      </c>
      <c r="L42" s="11">
        <f t="shared" si="6"/>
        <v>1.3600000000000003</v>
      </c>
      <c r="M42" s="12">
        <f t="shared" si="5"/>
        <v>8160.0000000000018</v>
      </c>
      <c r="N42" s="12">
        <f t="shared" si="3"/>
        <v>2720.0000000000005</v>
      </c>
      <c r="O42" s="2"/>
      <c r="P42" s="1"/>
      <c r="Q42" s="1"/>
      <c r="R42" s="1"/>
      <c r="S42" s="1"/>
      <c r="T42" s="1"/>
      <c r="U42" s="1"/>
    </row>
    <row r="43" spans="10:21" ht="15.75" x14ac:dyDescent="0.5">
      <c r="J43" s="9">
        <v>1.1100000000000001</v>
      </c>
      <c r="K43" s="11">
        <f t="shared" si="0"/>
        <v>0.33000000000000029</v>
      </c>
      <c r="L43" s="11">
        <f t="shared" si="6"/>
        <v>1.3300000000000003</v>
      </c>
      <c r="M43" s="12">
        <f t="shared" si="5"/>
        <v>7980.0000000000018</v>
      </c>
      <c r="N43" s="12">
        <f t="shared" si="3"/>
        <v>2660.0000000000005</v>
      </c>
      <c r="O43" s="2"/>
      <c r="P43" s="1"/>
      <c r="Q43" s="1"/>
      <c r="R43" s="1"/>
      <c r="S43" s="1"/>
      <c r="T43" s="1"/>
      <c r="U43" s="1"/>
    </row>
    <row r="44" spans="10:21" ht="15.75" x14ac:dyDescent="0.5">
      <c r="J44" s="9">
        <v>1.1000000000000001</v>
      </c>
      <c r="K44" s="11">
        <f t="shared" si="0"/>
        <v>0.30000000000000027</v>
      </c>
      <c r="L44" s="11">
        <f t="shared" si="6"/>
        <v>1.3000000000000003</v>
      </c>
      <c r="M44" s="12">
        <f t="shared" si="5"/>
        <v>7800.0000000000018</v>
      </c>
      <c r="N44" s="12">
        <f t="shared" si="3"/>
        <v>2600.0000000000005</v>
      </c>
      <c r="O44" s="2"/>
      <c r="P44" s="1"/>
      <c r="Q44" s="1"/>
      <c r="R44" s="1"/>
      <c r="S44" s="1"/>
      <c r="T44" s="1"/>
      <c r="U44" s="1"/>
    </row>
    <row r="45" spans="10:21" ht="15.75" x14ac:dyDescent="0.5">
      <c r="J45" s="9">
        <v>1.0900000000000001</v>
      </c>
      <c r="K45" s="11">
        <f t="shared" si="0"/>
        <v>0.27000000000000024</v>
      </c>
      <c r="L45" s="11">
        <f t="shared" si="6"/>
        <v>1.2700000000000002</v>
      </c>
      <c r="M45" s="12">
        <f t="shared" si="5"/>
        <v>7620.0000000000018</v>
      </c>
      <c r="N45" s="12">
        <f t="shared" si="3"/>
        <v>2540.0000000000005</v>
      </c>
      <c r="O45" s="2"/>
      <c r="P45" s="1"/>
      <c r="Q45" s="1"/>
      <c r="R45" s="1"/>
      <c r="S45" s="1"/>
      <c r="T45" s="1"/>
      <c r="U45" s="1"/>
    </row>
    <row r="46" spans="10:21" ht="15.75" x14ac:dyDescent="0.5">
      <c r="J46" s="9">
        <v>1.08</v>
      </c>
      <c r="K46" s="11">
        <f t="shared" si="0"/>
        <v>0.24000000000000021</v>
      </c>
      <c r="L46" s="11">
        <f t="shared" si="6"/>
        <v>1.2400000000000002</v>
      </c>
      <c r="M46" s="12">
        <f t="shared" si="5"/>
        <v>7440.0000000000009</v>
      </c>
      <c r="N46" s="12">
        <f t="shared" si="3"/>
        <v>2480.0000000000005</v>
      </c>
      <c r="O46" s="2"/>
      <c r="P46" s="1"/>
      <c r="Q46" s="1"/>
      <c r="R46" s="1"/>
      <c r="S46" s="1"/>
      <c r="T46" s="1"/>
      <c r="U46" s="1"/>
    </row>
    <row r="47" spans="10:21" ht="15.75" x14ac:dyDescent="0.5">
      <c r="J47" s="9">
        <v>1.07</v>
      </c>
      <c r="K47" s="11">
        <f t="shared" si="0"/>
        <v>0.21000000000000019</v>
      </c>
      <c r="L47" s="11">
        <f t="shared" si="6"/>
        <v>1.2100000000000002</v>
      </c>
      <c r="M47" s="12">
        <f t="shared" si="5"/>
        <v>7260.0000000000009</v>
      </c>
      <c r="N47" s="12">
        <f t="shared" si="3"/>
        <v>2420.0000000000005</v>
      </c>
      <c r="O47" s="2"/>
      <c r="P47" s="1"/>
      <c r="Q47" s="1"/>
      <c r="R47" s="1"/>
      <c r="S47" s="1"/>
      <c r="T47" s="1"/>
      <c r="U47" s="1"/>
    </row>
    <row r="48" spans="10:21" ht="15.75" x14ac:dyDescent="0.5">
      <c r="J48" s="9">
        <v>1.06</v>
      </c>
      <c r="K48" s="11">
        <f t="shared" si="0"/>
        <v>0.18000000000000016</v>
      </c>
      <c r="L48" s="11">
        <f t="shared" si="6"/>
        <v>1.1800000000000002</v>
      </c>
      <c r="M48" s="12">
        <f t="shared" si="5"/>
        <v>7080.0000000000009</v>
      </c>
      <c r="N48" s="12">
        <f t="shared" si="3"/>
        <v>2360.0000000000005</v>
      </c>
      <c r="O48" s="2"/>
      <c r="P48" s="1"/>
      <c r="Q48" s="1"/>
      <c r="R48" s="1"/>
      <c r="S48" s="1"/>
      <c r="T48" s="1"/>
      <c r="U48" s="1"/>
    </row>
    <row r="49" spans="10:21" ht="15.75" x14ac:dyDescent="0.5">
      <c r="J49" s="9">
        <v>1.05</v>
      </c>
      <c r="K49" s="11">
        <f t="shared" si="0"/>
        <v>0.15000000000000013</v>
      </c>
      <c r="L49" s="11">
        <f t="shared" si="6"/>
        <v>1.1500000000000001</v>
      </c>
      <c r="M49" s="12">
        <f t="shared" si="5"/>
        <v>6900.0000000000009</v>
      </c>
      <c r="N49" s="12">
        <f t="shared" si="3"/>
        <v>2300.0000000000005</v>
      </c>
      <c r="O49" s="2"/>
      <c r="P49" s="1"/>
      <c r="Q49" s="1"/>
      <c r="R49" s="1"/>
      <c r="S49" s="1"/>
      <c r="T49" s="1"/>
      <c r="U49" s="1"/>
    </row>
    <row r="50" spans="10:21" ht="15.75" x14ac:dyDescent="0.5">
      <c r="J50" s="9">
        <v>1.04</v>
      </c>
      <c r="K50" s="11">
        <f t="shared" si="0"/>
        <v>0.12000000000000011</v>
      </c>
      <c r="L50" s="11">
        <f t="shared" si="6"/>
        <v>1.1200000000000001</v>
      </c>
      <c r="M50" s="12">
        <f t="shared" si="5"/>
        <v>6720.0000000000009</v>
      </c>
      <c r="N50" s="12">
        <f t="shared" si="3"/>
        <v>2240</v>
      </c>
      <c r="O50" s="2"/>
      <c r="P50" s="1"/>
      <c r="Q50" s="1"/>
      <c r="R50" s="1"/>
      <c r="S50" s="1"/>
      <c r="T50" s="1"/>
      <c r="U50" s="1"/>
    </row>
    <row r="51" spans="10:21" ht="15.75" x14ac:dyDescent="0.5">
      <c r="J51" s="9">
        <v>1.03</v>
      </c>
      <c r="K51" s="11">
        <f t="shared" si="0"/>
        <v>9.000000000000008E-2</v>
      </c>
      <c r="L51" s="11">
        <f t="shared" si="6"/>
        <v>1.0900000000000001</v>
      </c>
      <c r="M51" s="12">
        <f t="shared" si="5"/>
        <v>6540.0000000000009</v>
      </c>
      <c r="N51" s="12">
        <f t="shared" si="3"/>
        <v>2180</v>
      </c>
      <c r="O51" s="2"/>
      <c r="P51" s="1"/>
      <c r="Q51" s="1"/>
      <c r="R51" s="1"/>
      <c r="S51" s="1"/>
      <c r="T51" s="1"/>
      <c r="U51" s="1"/>
    </row>
    <row r="52" spans="10:21" ht="15.75" x14ac:dyDescent="0.5">
      <c r="J52" s="9">
        <v>1.02</v>
      </c>
      <c r="K52" s="11">
        <f t="shared" si="0"/>
        <v>6.0000000000000053E-2</v>
      </c>
      <c r="L52" s="11">
        <f t="shared" si="6"/>
        <v>1.06</v>
      </c>
      <c r="M52" s="12">
        <f t="shared" si="5"/>
        <v>6360</v>
      </c>
      <c r="N52" s="12">
        <f t="shared" si="3"/>
        <v>2120</v>
      </c>
      <c r="O52" s="2"/>
      <c r="P52" s="1"/>
      <c r="Q52" s="1"/>
      <c r="R52" s="1"/>
      <c r="S52" s="1"/>
      <c r="T52" s="1"/>
      <c r="U52" s="1"/>
    </row>
    <row r="53" spans="10:21" ht="15.75" x14ac:dyDescent="0.5">
      <c r="J53" s="9">
        <v>1.01</v>
      </c>
      <c r="K53" s="11">
        <f t="shared" si="0"/>
        <v>3.0000000000000027E-2</v>
      </c>
      <c r="L53" s="11">
        <f t="shared" si="6"/>
        <v>1.03</v>
      </c>
      <c r="M53" s="12">
        <f t="shared" si="5"/>
        <v>6180</v>
      </c>
      <c r="N53" s="12">
        <f t="shared" si="3"/>
        <v>2060</v>
      </c>
      <c r="O53" s="2"/>
      <c r="P53" s="1"/>
      <c r="Q53" s="1"/>
      <c r="R53" s="1"/>
      <c r="S53" s="1"/>
      <c r="T53" s="1"/>
      <c r="U53" s="1"/>
    </row>
    <row r="54" spans="10:21" ht="15.75" x14ac:dyDescent="0.5">
      <c r="J54" s="23">
        <v>1</v>
      </c>
      <c r="K54" s="24">
        <f t="shared" si="0"/>
        <v>0</v>
      </c>
      <c r="L54" s="24">
        <v>1</v>
      </c>
      <c r="M54" s="12">
        <f t="shared" si="5"/>
        <v>6000</v>
      </c>
      <c r="N54" s="12">
        <f t="shared" si="3"/>
        <v>2000</v>
      </c>
      <c r="O54" s="2"/>
      <c r="P54" s="1"/>
      <c r="Q54" s="1"/>
      <c r="R54" s="1"/>
      <c r="S54" s="1"/>
      <c r="T54" s="1"/>
      <c r="U54" s="1"/>
    </row>
    <row r="55" spans="10:21" ht="15.75" x14ac:dyDescent="0.5">
      <c r="J55" s="25">
        <v>0.99</v>
      </c>
      <c r="K55" s="26">
        <f t="shared" si="0"/>
        <v>-3.0000000000000027E-2</v>
      </c>
      <c r="L55" s="26">
        <f t="shared" ref="L55:L63" si="7">L54-3%</f>
        <v>0.97</v>
      </c>
      <c r="M55" s="12">
        <f t="shared" si="5"/>
        <v>5820</v>
      </c>
      <c r="N55" s="12">
        <f t="shared" si="3"/>
        <v>1940</v>
      </c>
      <c r="O55" s="1"/>
      <c r="P55" s="1"/>
      <c r="Q55" s="1"/>
      <c r="R55" s="1"/>
      <c r="S55" s="1"/>
      <c r="T55" s="1"/>
      <c r="U55" s="1"/>
    </row>
    <row r="56" spans="10:21" ht="15.75" x14ac:dyDescent="0.5">
      <c r="J56" s="25">
        <v>0.98</v>
      </c>
      <c r="K56" s="26">
        <f t="shared" si="0"/>
        <v>-6.0000000000000053E-2</v>
      </c>
      <c r="L56" s="26">
        <f t="shared" si="7"/>
        <v>0.94</v>
      </c>
      <c r="M56" s="12">
        <f t="shared" si="5"/>
        <v>5640</v>
      </c>
      <c r="N56" s="12">
        <f t="shared" si="3"/>
        <v>1880</v>
      </c>
      <c r="O56" s="1"/>
      <c r="P56" s="1"/>
      <c r="Q56" s="1"/>
      <c r="R56" s="1"/>
      <c r="S56" s="1"/>
      <c r="T56" s="1"/>
      <c r="U56" s="1"/>
    </row>
    <row r="57" spans="10:21" ht="15.75" x14ac:dyDescent="0.5">
      <c r="J57" s="25">
        <v>0.97</v>
      </c>
      <c r="K57" s="26">
        <f t="shared" si="0"/>
        <v>-9.000000000000008E-2</v>
      </c>
      <c r="L57" s="26">
        <f t="shared" si="7"/>
        <v>0.90999999999999992</v>
      </c>
      <c r="M57" s="12">
        <f t="shared" si="5"/>
        <v>5459.9999999999991</v>
      </c>
      <c r="N57" s="12">
        <f t="shared" si="3"/>
        <v>1819.9999999999998</v>
      </c>
      <c r="O57" s="1"/>
      <c r="P57" s="1"/>
      <c r="Q57" s="1"/>
      <c r="R57" s="1"/>
      <c r="S57" s="1"/>
      <c r="T57" s="1"/>
      <c r="U57" s="1"/>
    </row>
    <row r="58" spans="10:21" ht="15.75" x14ac:dyDescent="0.5">
      <c r="J58" s="25">
        <v>0.96</v>
      </c>
      <c r="K58" s="26">
        <f t="shared" si="0"/>
        <v>-0.12000000000000011</v>
      </c>
      <c r="L58" s="26">
        <f t="shared" si="7"/>
        <v>0.87999999999999989</v>
      </c>
      <c r="M58" s="12">
        <f t="shared" si="5"/>
        <v>5279.9999999999991</v>
      </c>
      <c r="N58" s="12">
        <f t="shared" si="3"/>
        <v>1759.9999999999998</v>
      </c>
      <c r="O58" s="1"/>
      <c r="P58" s="1"/>
      <c r="Q58" s="1"/>
      <c r="R58" s="1"/>
      <c r="S58" s="1"/>
      <c r="T58" s="1"/>
      <c r="U58" s="1"/>
    </row>
    <row r="59" spans="10:21" ht="15.75" x14ac:dyDescent="0.5">
      <c r="J59" s="25">
        <v>0.95</v>
      </c>
      <c r="K59" s="26">
        <f t="shared" si="0"/>
        <v>-0.15000000000000013</v>
      </c>
      <c r="L59" s="26">
        <f t="shared" si="7"/>
        <v>0.84999999999999987</v>
      </c>
      <c r="M59" s="12">
        <f t="shared" si="5"/>
        <v>5099.9999999999991</v>
      </c>
      <c r="N59" s="12">
        <f t="shared" si="3"/>
        <v>1699.9999999999998</v>
      </c>
      <c r="O59" s="1"/>
      <c r="P59" s="1"/>
      <c r="Q59" s="1"/>
      <c r="R59" s="1"/>
      <c r="S59" s="1"/>
      <c r="T59" s="1"/>
      <c r="U59" s="1"/>
    </row>
    <row r="60" spans="10:21" ht="15.75" x14ac:dyDescent="0.5">
      <c r="J60" s="25">
        <v>0.94</v>
      </c>
      <c r="K60" s="26">
        <f t="shared" si="0"/>
        <v>-0.18000000000000016</v>
      </c>
      <c r="L60" s="26">
        <f t="shared" si="7"/>
        <v>0.81999999999999984</v>
      </c>
      <c r="M60" s="12">
        <f t="shared" si="5"/>
        <v>4919.9999999999991</v>
      </c>
      <c r="N60" s="12">
        <f t="shared" si="3"/>
        <v>1639.9999999999998</v>
      </c>
      <c r="O60" s="1"/>
      <c r="P60" s="1"/>
      <c r="Q60" s="1"/>
      <c r="R60" s="1"/>
      <c r="S60" s="1"/>
      <c r="T60" s="1"/>
      <c r="U60" s="1"/>
    </row>
    <row r="61" spans="10:21" ht="15.75" x14ac:dyDescent="0.5">
      <c r="J61" s="25">
        <v>0.93</v>
      </c>
      <c r="K61" s="26">
        <f t="shared" si="0"/>
        <v>-0.21000000000000019</v>
      </c>
      <c r="L61" s="26">
        <f t="shared" si="7"/>
        <v>0.78999999999999981</v>
      </c>
      <c r="M61" s="12">
        <f t="shared" si="5"/>
        <v>4739.9999999999991</v>
      </c>
      <c r="N61" s="12">
        <f t="shared" si="3"/>
        <v>1579.9999999999995</v>
      </c>
      <c r="O61" s="1"/>
      <c r="P61" s="1"/>
      <c r="Q61" s="1"/>
      <c r="R61" s="1"/>
      <c r="S61" s="1"/>
      <c r="T61" s="1"/>
      <c r="U61" s="1"/>
    </row>
    <row r="62" spans="10:21" ht="15.75" x14ac:dyDescent="0.5">
      <c r="J62" s="25">
        <v>0.92</v>
      </c>
      <c r="K62" s="26">
        <f t="shared" si="0"/>
        <v>-0.24000000000000021</v>
      </c>
      <c r="L62" s="26">
        <f t="shared" si="7"/>
        <v>0.75999999999999979</v>
      </c>
      <c r="M62" s="12">
        <f t="shared" si="5"/>
        <v>4559.9999999999991</v>
      </c>
      <c r="N62" s="12">
        <f t="shared" si="3"/>
        <v>1519.9999999999995</v>
      </c>
      <c r="O62" s="1"/>
      <c r="P62" s="1"/>
      <c r="Q62" s="1"/>
      <c r="R62" s="1"/>
      <c r="S62" s="1"/>
      <c r="T62" s="1"/>
      <c r="U62" s="1"/>
    </row>
    <row r="63" spans="10:21" ht="15.75" x14ac:dyDescent="0.5">
      <c r="J63" s="25">
        <v>0.91</v>
      </c>
      <c r="K63" s="26">
        <f t="shared" si="0"/>
        <v>-0.27000000000000024</v>
      </c>
      <c r="L63" s="26">
        <f t="shared" si="7"/>
        <v>0.72999999999999976</v>
      </c>
      <c r="M63" s="12">
        <f t="shared" si="5"/>
        <v>4379.9999999999982</v>
      </c>
      <c r="N63" s="12">
        <f t="shared" si="3"/>
        <v>1459.9999999999995</v>
      </c>
      <c r="O63" s="1"/>
      <c r="P63" s="1"/>
      <c r="Q63" s="1"/>
      <c r="R63" s="1"/>
      <c r="S63" s="1"/>
      <c r="T63" s="1"/>
      <c r="U63" s="1"/>
    </row>
    <row r="64" spans="10:21" ht="15.75" x14ac:dyDescent="0.5">
      <c r="J64" s="25">
        <v>0.9</v>
      </c>
      <c r="K64" s="26">
        <f t="shared" si="0"/>
        <v>-0.29000000000000026</v>
      </c>
      <c r="L64" s="26">
        <f t="shared" ref="L64:L69" si="8">L63-2%</f>
        <v>0.70999999999999974</v>
      </c>
      <c r="M64" s="12">
        <f t="shared" si="5"/>
        <v>4259.9999999999982</v>
      </c>
      <c r="N64" s="12">
        <f t="shared" si="3"/>
        <v>1419.9999999999995</v>
      </c>
      <c r="O64" s="1"/>
      <c r="P64" s="1"/>
      <c r="Q64" s="1"/>
      <c r="R64" s="1"/>
      <c r="S64" s="1"/>
      <c r="T64" s="1"/>
      <c r="U64" s="1"/>
    </row>
    <row r="65" spans="10:25" ht="15.75" x14ac:dyDescent="0.5">
      <c r="J65" s="25">
        <v>0.89</v>
      </c>
      <c r="K65" s="26">
        <f t="shared" si="0"/>
        <v>-0.31000000000000028</v>
      </c>
      <c r="L65" s="26">
        <f t="shared" si="8"/>
        <v>0.68999999999999972</v>
      </c>
      <c r="M65" s="12">
        <f t="shared" si="5"/>
        <v>4139.9999999999982</v>
      </c>
      <c r="N65" s="12">
        <f t="shared" si="3"/>
        <v>1379.9999999999995</v>
      </c>
      <c r="O65" s="1"/>
      <c r="P65" s="1"/>
      <c r="Q65" s="1"/>
      <c r="R65" s="1"/>
      <c r="S65" s="1"/>
      <c r="T65" s="1"/>
      <c r="U65" s="1"/>
    </row>
    <row r="66" spans="10:25" ht="15.75" x14ac:dyDescent="0.5">
      <c r="J66" s="25">
        <v>0.88</v>
      </c>
      <c r="K66" s="26">
        <f t="shared" si="0"/>
        <v>-0.33000000000000029</v>
      </c>
      <c r="L66" s="26">
        <f t="shared" si="8"/>
        <v>0.66999999999999971</v>
      </c>
      <c r="M66" s="12">
        <f t="shared" si="5"/>
        <v>4019.9999999999982</v>
      </c>
      <c r="N66" s="12">
        <f t="shared" si="3"/>
        <v>1339.9999999999993</v>
      </c>
      <c r="O66" s="1"/>
      <c r="P66" s="1"/>
      <c r="Q66" s="1"/>
      <c r="R66" s="1"/>
      <c r="S66" s="1"/>
      <c r="T66" s="1"/>
      <c r="U66" s="1"/>
    </row>
    <row r="67" spans="10:25" ht="15.75" x14ac:dyDescent="0.5">
      <c r="J67" s="25">
        <v>0.87</v>
      </c>
      <c r="K67" s="26">
        <f t="shared" si="0"/>
        <v>-0.35000000000000031</v>
      </c>
      <c r="L67" s="26">
        <f t="shared" si="8"/>
        <v>0.64999999999999969</v>
      </c>
      <c r="M67" s="12">
        <f t="shared" si="5"/>
        <v>3899.9999999999982</v>
      </c>
      <c r="N67" s="12">
        <f t="shared" si="3"/>
        <v>1299.9999999999993</v>
      </c>
      <c r="O67" s="1"/>
      <c r="P67" s="1"/>
      <c r="Q67" s="1"/>
      <c r="R67" s="1"/>
      <c r="S67" s="1"/>
      <c r="T67" s="1"/>
      <c r="U67" s="1"/>
    </row>
    <row r="68" spans="10:25" ht="15.75" x14ac:dyDescent="0.5">
      <c r="J68" s="25">
        <v>0.86</v>
      </c>
      <c r="K68" s="26">
        <f t="shared" si="0"/>
        <v>-0.37000000000000033</v>
      </c>
      <c r="L68" s="26">
        <f t="shared" si="8"/>
        <v>0.62999999999999967</v>
      </c>
      <c r="M68" s="12">
        <f t="shared" ref="M68:M85" si="9">$B$3*$B$5*L68</f>
        <v>3779.9999999999982</v>
      </c>
      <c r="N68" s="12">
        <f t="shared" si="3"/>
        <v>1259.9999999999993</v>
      </c>
      <c r="O68" s="1"/>
      <c r="P68" s="1"/>
      <c r="Q68" s="1"/>
      <c r="R68" s="1"/>
      <c r="S68" s="1"/>
      <c r="T68" s="1"/>
      <c r="U68" s="1"/>
    </row>
    <row r="69" spans="10:25" ht="15.75" x14ac:dyDescent="0.5">
      <c r="J69" s="25">
        <v>0.85</v>
      </c>
      <c r="K69" s="26">
        <f t="shared" si="0"/>
        <v>-0.39000000000000035</v>
      </c>
      <c r="L69" s="26">
        <f t="shared" si="8"/>
        <v>0.60999999999999965</v>
      </c>
      <c r="M69" s="12">
        <f t="shared" si="9"/>
        <v>3659.9999999999977</v>
      </c>
      <c r="N69" s="12">
        <f t="shared" ref="N69:N85" si="10">$B$3*$B$6*L69</f>
        <v>1219.9999999999993</v>
      </c>
      <c r="O69" s="1"/>
      <c r="P69" s="1"/>
      <c r="Q69" s="1"/>
      <c r="R69" s="1"/>
      <c r="S69" s="1"/>
      <c r="T69" s="1"/>
      <c r="U69" s="1"/>
    </row>
    <row r="70" spans="10:25" ht="15.75" x14ac:dyDescent="0.5">
      <c r="J70" s="25">
        <v>0.84</v>
      </c>
      <c r="K70" s="26">
        <f t="shared" si="0"/>
        <v>-0.65</v>
      </c>
      <c r="L70" s="26">
        <v>0.35</v>
      </c>
      <c r="M70" s="12">
        <f t="shared" si="9"/>
        <v>2100</v>
      </c>
      <c r="N70" s="12">
        <f t="shared" si="10"/>
        <v>700</v>
      </c>
      <c r="O70" s="27"/>
      <c r="P70" s="27"/>
      <c r="Q70" s="27"/>
      <c r="R70" s="27"/>
      <c r="S70" s="27"/>
      <c r="T70" s="27"/>
      <c r="U70" s="27"/>
      <c r="V70" s="28"/>
      <c r="W70" s="28"/>
      <c r="X70" s="28"/>
      <c r="Y70" s="28"/>
    </row>
    <row r="71" spans="10:25" ht="15.75" x14ac:dyDescent="0.5">
      <c r="J71" s="25">
        <v>0.83</v>
      </c>
      <c r="K71" s="26">
        <f t="shared" si="0"/>
        <v>-0.65</v>
      </c>
      <c r="L71" s="26">
        <v>0.35</v>
      </c>
      <c r="M71" s="12">
        <f t="shared" si="9"/>
        <v>2100</v>
      </c>
      <c r="N71" s="12">
        <f t="shared" si="10"/>
        <v>700</v>
      </c>
      <c r="O71" s="1"/>
      <c r="P71" s="1"/>
      <c r="Q71" s="1"/>
      <c r="R71" s="1"/>
      <c r="S71" s="1"/>
      <c r="T71" s="1"/>
      <c r="U71" s="1"/>
    </row>
    <row r="72" spans="10:25" ht="15.75" x14ac:dyDescent="0.5">
      <c r="J72" s="25">
        <v>0.82</v>
      </c>
      <c r="K72" s="26">
        <f t="shared" si="0"/>
        <v>-0.65</v>
      </c>
      <c r="L72" s="26">
        <v>0.35</v>
      </c>
      <c r="M72" s="12">
        <f t="shared" si="9"/>
        <v>2100</v>
      </c>
      <c r="N72" s="12">
        <f t="shared" si="10"/>
        <v>700</v>
      </c>
      <c r="O72" s="1"/>
      <c r="P72" s="1"/>
      <c r="Q72" s="1"/>
      <c r="R72" s="1"/>
      <c r="S72" s="1"/>
      <c r="T72" s="1"/>
      <c r="U72" s="1"/>
    </row>
    <row r="73" spans="10:25" ht="15.75" x14ac:dyDescent="0.5">
      <c r="J73" s="25">
        <v>0.81</v>
      </c>
      <c r="K73" s="26">
        <f t="shared" si="0"/>
        <v>-0.65</v>
      </c>
      <c r="L73" s="26">
        <v>0.35</v>
      </c>
      <c r="M73" s="12">
        <f t="shared" si="9"/>
        <v>2100</v>
      </c>
      <c r="N73" s="12">
        <f t="shared" si="10"/>
        <v>700</v>
      </c>
      <c r="O73" s="1"/>
      <c r="P73" s="1"/>
      <c r="Q73" s="1"/>
      <c r="R73" s="1"/>
      <c r="S73" s="1"/>
      <c r="T73" s="1"/>
      <c r="U73" s="1"/>
    </row>
    <row r="74" spans="10:25" ht="15.75" x14ac:dyDescent="0.5">
      <c r="J74" s="25">
        <v>0.8</v>
      </c>
      <c r="K74" s="26">
        <f t="shared" si="0"/>
        <v>-0.65</v>
      </c>
      <c r="L74" s="26">
        <v>0.35</v>
      </c>
      <c r="M74" s="12">
        <f t="shared" si="9"/>
        <v>2100</v>
      </c>
      <c r="N74" s="12">
        <f t="shared" si="10"/>
        <v>700</v>
      </c>
      <c r="O74" s="1"/>
      <c r="P74" s="1"/>
      <c r="Q74" s="1"/>
      <c r="R74" s="1"/>
      <c r="S74" s="1"/>
      <c r="T74" s="1"/>
      <c r="U74" s="1"/>
    </row>
    <row r="75" spans="10:25" ht="15.75" x14ac:dyDescent="0.5">
      <c r="J75" s="25">
        <v>0.79</v>
      </c>
      <c r="K75" s="26">
        <f t="shared" si="0"/>
        <v>-0.75</v>
      </c>
      <c r="L75" s="26">
        <v>0.25</v>
      </c>
      <c r="M75" s="12">
        <f t="shared" si="9"/>
        <v>1500</v>
      </c>
      <c r="N75" s="12">
        <f t="shared" si="10"/>
        <v>500</v>
      </c>
      <c r="O75" s="1"/>
      <c r="P75" s="1"/>
      <c r="Q75" s="1"/>
      <c r="R75" s="1"/>
      <c r="S75" s="1"/>
      <c r="T75" s="1"/>
      <c r="U75" s="1"/>
    </row>
    <row r="76" spans="10:25" ht="15.75" x14ac:dyDescent="0.5">
      <c r="J76" s="25">
        <v>0.78</v>
      </c>
      <c r="K76" s="26">
        <f t="shared" si="0"/>
        <v>-0.75</v>
      </c>
      <c r="L76" s="26">
        <v>0.25</v>
      </c>
      <c r="M76" s="12">
        <f t="shared" si="9"/>
        <v>1500</v>
      </c>
      <c r="N76" s="12">
        <f t="shared" si="10"/>
        <v>500</v>
      </c>
      <c r="O76" s="1"/>
      <c r="P76" s="1"/>
      <c r="Q76" s="1"/>
      <c r="R76" s="1"/>
      <c r="S76" s="1"/>
      <c r="T76" s="1"/>
      <c r="U76" s="1"/>
    </row>
    <row r="77" spans="10:25" ht="15.75" x14ac:dyDescent="0.5">
      <c r="J77" s="25">
        <v>0.77</v>
      </c>
      <c r="K77" s="26">
        <f t="shared" si="0"/>
        <v>-0.75</v>
      </c>
      <c r="L77" s="26">
        <v>0.25</v>
      </c>
      <c r="M77" s="12">
        <f t="shared" si="9"/>
        <v>1500</v>
      </c>
      <c r="N77" s="12">
        <f t="shared" si="10"/>
        <v>500</v>
      </c>
      <c r="O77" s="1"/>
      <c r="P77" s="1"/>
      <c r="Q77" s="1"/>
      <c r="R77" s="1"/>
      <c r="S77" s="1"/>
      <c r="T77" s="1"/>
      <c r="U77" s="1"/>
    </row>
    <row r="78" spans="10:25" ht="15.75" x14ac:dyDescent="0.5">
      <c r="J78" s="25">
        <v>0.76</v>
      </c>
      <c r="K78" s="26">
        <f t="shared" si="0"/>
        <v>-0.75</v>
      </c>
      <c r="L78" s="26">
        <v>0.25</v>
      </c>
      <c r="M78" s="12">
        <f t="shared" si="9"/>
        <v>1500</v>
      </c>
      <c r="N78" s="12">
        <f t="shared" si="10"/>
        <v>500</v>
      </c>
      <c r="O78" s="1"/>
      <c r="P78" s="1"/>
      <c r="Q78" s="1"/>
      <c r="R78" s="1"/>
      <c r="S78" s="1"/>
      <c r="T78" s="1"/>
      <c r="U78" s="1"/>
    </row>
    <row r="79" spans="10:25" ht="15.75" x14ac:dyDescent="0.5">
      <c r="J79" s="25">
        <v>0.75</v>
      </c>
      <c r="K79" s="26">
        <f t="shared" si="0"/>
        <v>-0.75</v>
      </c>
      <c r="L79" s="26">
        <v>0.25</v>
      </c>
      <c r="M79" s="12">
        <f t="shared" si="9"/>
        <v>1500</v>
      </c>
      <c r="N79" s="12">
        <f t="shared" si="10"/>
        <v>500</v>
      </c>
      <c r="O79" s="1"/>
      <c r="P79" s="1"/>
      <c r="Q79" s="1"/>
      <c r="R79" s="1"/>
      <c r="S79" s="1"/>
      <c r="T79" s="1"/>
      <c r="U79" s="1"/>
    </row>
    <row r="80" spans="10:25" ht="15.75" x14ac:dyDescent="0.5">
      <c r="J80" s="25">
        <v>0.74</v>
      </c>
      <c r="K80" s="26">
        <f t="shared" si="0"/>
        <v>-0.8</v>
      </c>
      <c r="L80" s="26">
        <v>0.2</v>
      </c>
      <c r="M80" s="12">
        <f t="shared" si="9"/>
        <v>1200</v>
      </c>
      <c r="N80" s="12">
        <f t="shared" si="10"/>
        <v>400</v>
      </c>
      <c r="O80" s="1"/>
      <c r="P80" s="1"/>
      <c r="Q80" s="1"/>
      <c r="R80" s="1"/>
      <c r="S80" s="1"/>
      <c r="T80" s="1"/>
      <c r="U80" s="1"/>
    </row>
    <row r="81" spans="10:21" ht="15.75" x14ac:dyDescent="0.5">
      <c r="J81" s="25">
        <v>0.73</v>
      </c>
      <c r="K81" s="26">
        <f t="shared" si="0"/>
        <v>-0.8</v>
      </c>
      <c r="L81" s="26">
        <v>0.2</v>
      </c>
      <c r="M81" s="12">
        <f t="shared" si="9"/>
        <v>1200</v>
      </c>
      <c r="N81" s="12">
        <f t="shared" si="10"/>
        <v>400</v>
      </c>
      <c r="O81" s="1"/>
      <c r="P81" s="1"/>
      <c r="Q81" s="1"/>
      <c r="R81" s="1"/>
      <c r="S81" s="1"/>
      <c r="T81" s="1"/>
      <c r="U81" s="1"/>
    </row>
    <row r="82" spans="10:21" ht="15.75" x14ac:dyDescent="0.5">
      <c r="J82" s="25">
        <v>0.72</v>
      </c>
      <c r="K82" s="26">
        <f t="shared" si="0"/>
        <v>-0.8</v>
      </c>
      <c r="L82" s="26">
        <v>0.2</v>
      </c>
      <c r="M82" s="12">
        <f t="shared" si="9"/>
        <v>1200</v>
      </c>
      <c r="N82" s="12">
        <f t="shared" si="10"/>
        <v>400</v>
      </c>
      <c r="O82" s="1"/>
      <c r="P82" s="1"/>
      <c r="Q82" s="1"/>
      <c r="R82" s="1"/>
      <c r="S82" s="1"/>
      <c r="T82" s="1"/>
      <c r="U82" s="1"/>
    </row>
    <row r="83" spans="10:21" ht="15.75" x14ac:dyDescent="0.5">
      <c r="J83" s="25">
        <v>0.71</v>
      </c>
      <c r="K83" s="26">
        <f t="shared" si="0"/>
        <v>-0.8</v>
      </c>
      <c r="L83" s="26">
        <v>0.2</v>
      </c>
      <c r="M83" s="12">
        <f t="shared" si="9"/>
        <v>1200</v>
      </c>
      <c r="N83" s="12">
        <f t="shared" si="10"/>
        <v>400</v>
      </c>
      <c r="O83" s="1"/>
      <c r="P83" s="1"/>
      <c r="Q83" s="1"/>
      <c r="R83" s="1"/>
      <c r="S83" s="1"/>
      <c r="T83" s="1"/>
      <c r="U83" s="1"/>
    </row>
    <row r="84" spans="10:21" ht="15.75" x14ac:dyDescent="0.5">
      <c r="J84" s="25">
        <v>0.7</v>
      </c>
      <c r="K84" s="26">
        <f t="shared" si="0"/>
        <v>-0.8</v>
      </c>
      <c r="L84" s="26">
        <v>0.2</v>
      </c>
      <c r="M84" s="12">
        <f t="shared" si="9"/>
        <v>1200</v>
      </c>
      <c r="N84" s="12">
        <f t="shared" si="10"/>
        <v>400</v>
      </c>
      <c r="O84" s="1"/>
      <c r="P84" s="1"/>
      <c r="Q84" s="1"/>
      <c r="R84" s="1"/>
      <c r="S84" s="1"/>
      <c r="T84" s="1"/>
      <c r="U84" s="1"/>
    </row>
    <row r="85" spans="10:21" ht="15.75" x14ac:dyDescent="0.5">
      <c r="J85" s="25">
        <v>0.69</v>
      </c>
      <c r="K85" s="26">
        <v>0</v>
      </c>
      <c r="L85" s="26">
        <v>0</v>
      </c>
      <c r="M85" s="12">
        <f t="shared" si="9"/>
        <v>0</v>
      </c>
      <c r="N85" s="12">
        <f t="shared" si="10"/>
        <v>0</v>
      </c>
      <c r="O85" s="1"/>
      <c r="P85" s="1"/>
      <c r="Q85" s="1"/>
      <c r="R85" s="1"/>
      <c r="S85" s="1"/>
      <c r="T85" s="1"/>
      <c r="U85" s="1"/>
    </row>
    <row r="86" spans="10:21" ht="15.75" x14ac:dyDescent="0.5">
      <c r="J86" s="21"/>
      <c r="O86" s="1"/>
      <c r="P86" s="1"/>
      <c r="Q86" s="1"/>
      <c r="R86" s="1"/>
      <c r="S86" s="1"/>
      <c r="T86" s="1"/>
      <c r="U86" s="1"/>
    </row>
    <row r="87" spans="10:21" ht="15.75" x14ac:dyDescent="0.5">
      <c r="J87" s="21"/>
      <c r="O87" s="1"/>
      <c r="P87" s="1"/>
      <c r="Q87" s="1"/>
      <c r="R87" s="1"/>
      <c r="S87" s="1"/>
      <c r="T87" s="1"/>
      <c r="U87" s="1"/>
    </row>
    <row r="88" spans="10:21" ht="15.75" x14ac:dyDescent="0.5">
      <c r="J88" s="21"/>
      <c r="O88" s="1"/>
      <c r="P88" s="1"/>
      <c r="Q88" s="1"/>
      <c r="R88" s="1"/>
      <c r="S88" s="1"/>
      <c r="T88" s="1"/>
      <c r="U88" s="1"/>
    </row>
    <row r="89" spans="10:21" ht="15.75" x14ac:dyDescent="0.5">
      <c r="J89" s="21"/>
      <c r="O89" s="1"/>
      <c r="P89" s="1"/>
      <c r="Q89" s="1"/>
      <c r="R89" s="1"/>
      <c r="S89" s="1"/>
      <c r="T89" s="1"/>
      <c r="U89" s="1"/>
    </row>
    <row r="90" spans="10:21" x14ac:dyDescent="0.45">
      <c r="O90" s="1"/>
      <c r="P90" s="1"/>
      <c r="Q90" s="1"/>
      <c r="R90" s="1"/>
      <c r="S90" s="1"/>
      <c r="T90" s="1"/>
      <c r="U90" s="1"/>
    </row>
    <row r="91" spans="10:21" x14ac:dyDescent="0.45">
      <c r="O91" s="1"/>
      <c r="P91" s="1"/>
      <c r="Q91" s="1"/>
      <c r="R91" s="1"/>
      <c r="S91" s="1"/>
      <c r="T91" s="1"/>
      <c r="U91" s="1"/>
    </row>
    <row r="92" spans="10:21" x14ac:dyDescent="0.45">
      <c r="O92" s="1"/>
      <c r="P92" s="1"/>
      <c r="Q92" s="1"/>
      <c r="R92" s="1"/>
      <c r="S92" s="1"/>
      <c r="T92" s="1"/>
      <c r="U92" s="1"/>
    </row>
    <row r="93" spans="10:21" x14ac:dyDescent="0.45">
      <c r="O93" s="1"/>
      <c r="P93" s="1"/>
      <c r="Q93" s="1"/>
      <c r="R93" s="1"/>
      <c r="S93" s="1"/>
      <c r="T93" s="1"/>
      <c r="U93" s="1"/>
    </row>
    <row r="94" spans="10:21" x14ac:dyDescent="0.45">
      <c r="O94" s="1"/>
      <c r="P94" s="1"/>
      <c r="Q94" s="1"/>
      <c r="R94" s="1"/>
      <c r="S94" s="1"/>
      <c r="T94" s="1"/>
      <c r="U94" s="1"/>
    </row>
    <row r="95" spans="10:21" x14ac:dyDescent="0.45">
      <c r="O95" s="1"/>
      <c r="P95" s="1"/>
      <c r="Q95" s="1"/>
      <c r="R95" s="1"/>
      <c r="S95" s="1"/>
      <c r="T95" s="1"/>
      <c r="U95" s="1"/>
    </row>
    <row r="96" spans="10:21" x14ac:dyDescent="0.45">
      <c r="O96" s="1"/>
      <c r="P96" s="1"/>
      <c r="Q96" s="1"/>
      <c r="R96" s="1"/>
      <c r="S96" s="1"/>
      <c r="T96" s="1"/>
      <c r="U96" s="1"/>
    </row>
    <row r="97" spans="15:21" x14ac:dyDescent="0.45">
      <c r="O97" s="1"/>
      <c r="P97" s="1"/>
      <c r="Q97" s="1"/>
      <c r="R97" s="1"/>
      <c r="S97" s="1"/>
      <c r="T97" s="1"/>
      <c r="U97" s="1"/>
    </row>
    <row r="98" spans="15:21" x14ac:dyDescent="0.45">
      <c r="O98" s="1"/>
      <c r="P98" s="1"/>
      <c r="Q98" s="1"/>
      <c r="R98" s="1"/>
      <c r="S98" s="1"/>
      <c r="T98" s="1"/>
      <c r="U98" s="1"/>
    </row>
    <row r="99" spans="15:21" x14ac:dyDescent="0.45">
      <c r="O99" s="1"/>
      <c r="P99" s="1"/>
      <c r="Q99" s="1"/>
      <c r="R99" s="1"/>
      <c r="S99" s="1"/>
      <c r="T99" s="1"/>
      <c r="U99" s="1"/>
    </row>
    <row r="100" spans="15:21" x14ac:dyDescent="0.45">
      <c r="O100" s="1"/>
      <c r="P100" s="1"/>
      <c r="Q100" s="1"/>
      <c r="R100" s="1"/>
      <c r="S100" s="1"/>
      <c r="T100" s="1"/>
      <c r="U100" s="1"/>
    </row>
    <row r="101" spans="15:21" x14ac:dyDescent="0.45">
      <c r="O101" s="1"/>
      <c r="P101" s="1"/>
      <c r="Q101" s="1"/>
      <c r="R101" s="1"/>
      <c r="S101" s="1"/>
      <c r="T101" s="1"/>
      <c r="U101" s="1"/>
    </row>
    <row r="102" spans="15:21" x14ac:dyDescent="0.45">
      <c r="O102" s="1"/>
      <c r="P102" s="1"/>
      <c r="Q102" s="1"/>
      <c r="R102" s="1"/>
      <c r="S102" s="1"/>
      <c r="T102" s="1"/>
      <c r="U102" s="1"/>
    </row>
    <row r="103" spans="15:21" x14ac:dyDescent="0.45">
      <c r="O103" s="1"/>
      <c r="P103" s="1"/>
      <c r="Q103" s="1"/>
      <c r="R103" s="1"/>
      <c r="S103" s="1"/>
      <c r="T103" s="1"/>
      <c r="U103" s="1"/>
    </row>
    <row r="104" spans="15:21" x14ac:dyDescent="0.45">
      <c r="O104" s="1"/>
      <c r="P104" s="1"/>
      <c r="Q104" s="1"/>
      <c r="R104" s="1"/>
      <c r="S104" s="1"/>
      <c r="T104" s="1"/>
      <c r="U104" s="1"/>
    </row>
    <row r="105" spans="15:21" x14ac:dyDescent="0.45">
      <c r="O105" s="1"/>
      <c r="P105" s="1"/>
      <c r="Q105" s="1"/>
      <c r="R105" s="1"/>
      <c r="S105" s="1"/>
      <c r="T105" s="1"/>
      <c r="U105" s="1"/>
    </row>
    <row r="106" spans="15:21" x14ac:dyDescent="0.45">
      <c r="O106" s="1"/>
      <c r="P106" s="1"/>
      <c r="Q106" s="1"/>
      <c r="R106" s="1"/>
      <c r="S106" s="1"/>
      <c r="T106" s="1"/>
      <c r="U106" s="1"/>
    </row>
    <row r="107" spans="15:21" x14ac:dyDescent="0.45">
      <c r="O107" s="1"/>
      <c r="P107" s="1"/>
      <c r="Q107" s="1"/>
      <c r="R107" s="1"/>
      <c r="S107" s="1"/>
      <c r="T107" s="1"/>
      <c r="U107" s="1"/>
    </row>
    <row r="108" spans="15:21" x14ac:dyDescent="0.45">
      <c r="O108" s="1"/>
      <c r="P108" s="1"/>
      <c r="Q108" s="1"/>
      <c r="R108" s="1"/>
      <c r="S108" s="1"/>
      <c r="T108" s="1"/>
      <c r="U108" s="1"/>
    </row>
    <row r="109" spans="15:21" x14ac:dyDescent="0.45">
      <c r="O109" s="1"/>
      <c r="P109" s="1"/>
      <c r="Q109" s="1"/>
      <c r="R109" s="1"/>
      <c r="S109" s="1"/>
      <c r="T109" s="1"/>
      <c r="U109" s="1"/>
    </row>
    <row r="110" spans="15:21" x14ac:dyDescent="0.45">
      <c r="O110" s="1"/>
      <c r="P110" s="1"/>
      <c r="Q110" s="1"/>
      <c r="R110" s="1"/>
      <c r="S110" s="1"/>
      <c r="T110" s="1"/>
      <c r="U110" s="1"/>
    </row>
    <row r="111" spans="15:21" x14ac:dyDescent="0.45">
      <c r="O111" s="1"/>
      <c r="P111" s="1"/>
      <c r="Q111" s="1"/>
      <c r="R111" s="1"/>
      <c r="S111" s="1"/>
      <c r="T111" s="1"/>
      <c r="U111" s="1"/>
    </row>
    <row r="112" spans="15:21" x14ac:dyDescent="0.45">
      <c r="O112" s="1"/>
      <c r="P112" s="1"/>
      <c r="Q112" s="1"/>
      <c r="R112" s="1"/>
      <c r="S112" s="1"/>
      <c r="T112" s="1"/>
      <c r="U112" s="1"/>
    </row>
    <row r="113" spans="15:21" x14ac:dyDescent="0.45">
      <c r="O113" s="1"/>
      <c r="P113" s="1"/>
      <c r="Q113" s="1"/>
      <c r="R113" s="1"/>
      <c r="S113" s="1"/>
      <c r="T113" s="1"/>
      <c r="U113" s="1"/>
    </row>
    <row r="114" spans="15:21" x14ac:dyDescent="0.45">
      <c r="O114" s="1"/>
      <c r="P114" s="1"/>
      <c r="Q114" s="1"/>
      <c r="R114" s="1"/>
      <c r="S114" s="1"/>
      <c r="T114" s="1"/>
      <c r="U114" s="1"/>
    </row>
    <row r="115" spans="15:21" x14ac:dyDescent="0.45">
      <c r="O115" s="1"/>
      <c r="P115" s="1"/>
      <c r="Q115" s="1"/>
      <c r="R115" s="1"/>
      <c r="S115" s="1"/>
      <c r="T115" s="1"/>
      <c r="U115" s="1"/>
    </row>
    <row r="116" spans="15:21" x14ac:dyDescent="0.45">
      <c r="O116" s="1"/>
      <c r="P116" s="1"/>
      <c r="Q116" s="1"/>
      <c r="R116" s="1"/>
      <c r="S116" s="1"/>
      <c r="T116" s="1"/>
      <c r="U116" s="1"/>
    </row>
    <row r="117" spans="15:21" x14ac:dyDescent="0.45">
      <c r="O117" s="1"/>
      <c r="P117" s="1"/>
      <c r="Q117" s="1"/>
      <c r="R117" s="1"/>
      <c r="S117" s="1"/>
      <c r="T117" s="1"/>
      <c r="U117" s="1"/>
    </row>
    <row r="118" spans="15:21" x14ac:dyDescent="0.45">
      <c r="O118" s="1"/>
      <c r="P118" s="1"/>
      <c r="Q118" s="1"/>
      <c r="R118" s="1"/>
      <c r="S118" s="1"/>
      <c r="T118" s="1"/>
      <c r="U118" s="1"/>
    </row>
    <row r="119" spans="15:21" x14ac:dyDescent="0.45">
      <c r="O119" s="1"/>
      <c r="P119" s="1"/>
      <c r="Q119" s="1"/>
      <c r="R119" s="1"/>
      <c r="S119" s="1"/>
      <c r="T119" s="1"/>
      <c r="U119" s="1"/>
    </row>
    <row r="120" spans="15:21" x14ac:dyDescent="0.45">
      <c r="O120" s="1"/>
      <c r="P120" s="1"/>
      <c r="Q120" s="1"/>
      <c r="R120" s="1"/>
      <c r="S120" s="1"/>
      <c r="T120" s="1"/>
      <c r="U120" s="1"/>
    </row>
    <row r="121" spans="15:21" x14ac:dyDescent="0.45">
      <c r="O121" s="1"/>
      <c r="P121" s="1"/>
      <c r="Q121" s="1"/>
      <c r="R121" s="1"/>
      <c r="S121" s="1"/>
      <c r="T121" s="1"/>
      <c r="U121" s="1"/>
    </row>
    <row r="122" spans="15:21" x14ac:dyDescent="0.45">
      <c r="O122" s="1"/>
      <c r="P122" s="1"/>
      <c r="Q122" s="1"/>
      <c r="R122" s="1"/>
      <c r="S122" s="1"/>
      <c r="T122" s="1"/>
      <c r="U122" s="1"/>
    </row>
    <row r="123" spans="15:21" x14ac:dyDescent="0.45">
      <c r="O123" s="1"/>
      <c r="P123" s="1"/>
      <c r="Q123" s="1"/>
      <c r="R123" s="1"/>
      <c r="S123" s="1"/>
      <c r="T123" s="1"/>
      <c r="U123" s="1"/>
    </row>
    <row r="124" spans="15:21" x14ac:dyDescent="0.45">
      <c r="O124" s="1"/>
      <c r="P124" s="1"/>
      <c r="Q124" s="1"/>
      <c r="R124" s="1"/>
      <c r="S124" s="1"/>
      <c r="T124" s="1"/>
      <c r="U124" s="1"/>
    </row>
    <row r="125" spans="15:21" x14ac:dyDescent="0.45">
      <c r="O125" s="1"/>
      <c r="P125" s="1"/>
      <c r="Q125" s="1"/>
      <c r="R125" s="1"/>
      <c r="S125" s="1"/>
      <c r="T125" s="1"/>
      <c r="U125" s="1"/>
    </row>
    <row r="126" spans="15:21" x14ac:dyDescent="0.45">
      <c r="O126" s="1"/>
      <c r="P126" s="1"/>
      <c r="Q126" s="1"/>
      <c r="R126" s="1"/>
      <c r="S126" s="1"/>
      <c r="T126" s="1"/>
      <c r="U126" s="1"/>
    </row>
    <row r="127" spans="15:21" x14ac:dyDescent="0.45">
      <c r="O127" s="1"/>
      <c r="P127" s="1"/>
      <c r="Q127" s="1"/>
      <c r="R127" s="1"/>
      <c r="S127" s="1"/>
      <c r="T127" s="1"/>
      <c r="U127" s="1"/>
    </row>
    <row r="128" spans="15:21" x14ac:dyDescent="0.45">
      <c r="O128" s="1"/>
      <c r="P128" s="1"/>
      <c r="Q128" s="1"/>
      <c r="R128" s="1"/>
      <c r="S128" s="1"/>
      <c r="T128" s="1"/>
      <c r="U128" s="1"/>
    </row>
    <row r="129" spans="15:21" x14ac:dyDescent="0.45">
      <c r="O129" s="1"/>
      <c r="P129" s="1"/>
      <c r="Q129" s="1"/>
      <c r="R129" s="1"/>
      <c r="S129" s="1"/>
      <c r="T129" s="1"/>
      <c r="U129" s="1"/>
    </row>
    <row r="130" spans="15:21" x14ac:dyDescent="0.45">
      <c r="O130" s="1"/>
      <c r="P130" s="1"/>
      <c r="Q130" s="1"/>
      <c r="R130" s="1"/>
      <c r="S130" s="1"/>
      <c r="T130" s="1"/>
      <c r="U130" s="1"/>
    </row>
    <row r="131" spans="15:21" x14ac:dyDescent="0.45">
      <c r="O131" s="1"/>
      <c r="P131" s="1"/>
      <c r="Q131" s="1"/>
      <c r="R131" s="1"/>
      <c r="S131" s="1"/>
      <c r="T131" s="1"/>
      <c r="U131" s="1"/>
    </row>
    <row r="132" spans="15:21" x14ac:dyDescent="0.45">
      <c r="O132" s="1"/>
      <c r="P132" s="1"/>
      <c r="Q132" s="1"/>
      <c r="R132" s="1"/>
      <c r="S132" s="1"/>
      <c r="T132" s="1"/>
      <c r="U132" s="1"/>
    </row>
    <row r="133" spans="15:21" x14ac:dyDescent="0.45">
      <c r="O133" s="1"/>
      <c r="P133" s="1"/>
      <c r="Q133" s="1"/>
      <c r="R133" s="1"/>
      <c r="S133" s="1"/>
      <c r="T133" s="1"/>
      <c r="U133" s="1"/>
    </row>
    <row r="134" spans="15:21" x14ac:dyDescent="0.45">
      <c r="O134" s="1"/>
      <c r="P134" s="1"/>
      <c r="Q134" s="1"/>
      <c r="R134" s="1"/>
      <c r="S134" s="1"/>
      <c r="T134" s="1"/>
      <c r="U134" s="1"/>
    </row>
    <row r="135" spans="15:21" x14ac:dyDescent="0.45">
      <c r="O135" s="1"/>
      <c r="P135" s="1"/>
      <c r="Q135" s="1"/>
      <c r="R135" s="1"/>
      <c r="S135" s="1"/>
      <c r="T135" s="1"/>
      <c r="U135" s="1"/>
    </row>
    <row r="136" spans="15:21" x14ac:dyDescent="0.45">
      <c r="O136" s="1"/>
      <c r="P136" s="1"/>
      <c r="Q136" s="1"/>
      <c r="R136" s="1"/>
      <c r="S136" s="1"/>
      <c r="T136" s="1"/>
      <c r="U136" s="1"/>
    </row>
    <row r="137" spans="15:21" x14ac:dyDescent="0.45">
      <c r="O137" s="1"/>
      <c r="P137" s="1"/>
      <c r="Q137" s="1"/>
      <c r="R137" s="1"/>
      <c r="S137" s="1"/>
      <c r="T137" s="1"/>
      <c r="U137" s="1"/>
    </row>
    <row r="138" spans="15:21" x14ac:dyDescent="0.45">
      <c r="O138" s="1"/>
      <c r="P138" s="1"/>
      <c r="Q138" s="1"/>
      <c r="R138" s="1"/>
      <c r="S138" s="1"/>
      <c r="T138" s="1"/>
      <c r="U138" s="1"/>
    </row>
    <row r="139" spans="15:21" x14ac:dyDescent="0.45">
      <c r="O139" s="1"/>
      <c r="P139" s="1"/>
      <c r="Q139" s="1"/>
      <c r="R139" s="1"/>
      <c r="S139" s="1"/>
      <c r="T139" s="1"/>
      <c r="U139" s="1"/>
    </row>
    <row r="140" spans="15:21" x14ac:dyDescent="0.45">
      <c r="O140" s="1"/>
      <c r="P140" s="1"/>
      <c r="Q140" s="1"/>
      <c r="R140" s="1"/>
      <c r="S140" s="1"/>
      <c r="T140" s="1"/>
      <c r="U140" s="1"/>
    </row>
    <row r="141" spans="15:21" x14ac:dyDescent="0.45">
      <c r="O141" s="1"/>
      <c r="P141" s="1"/>
      <c r="Q141" s="1"/>
      <c r="R141" s="1"/>
      <c r="S141" s="1"/>
      <c r="T141" s="1"/>
      <c r="U141" s="1"/>
    </row>
    <row r="142" spans="15:21" x14ac:dyDescent="0.45">
      <c r="O142" s="1"/>
      <c r="P142" s="1"/>
      <c r="Q142" s="1"/>
      <c r="R142" s="1"/>
      <c r="S142" s="1"/>
      <c r="T142" s="1"/>
      <c r="U142" s="1"/>
    </row>
    <row r="143" spans="15:21" x14ac:dyDescent="0.45">
      <c r="O143" s="1"/>
      <c r="P143" s="1"/>
      <c r="Q143" s="1"/>
      <c r="R143" s="1"/>
      <c r="S143" s="1"/>
      <c r="T143" s="1"/>
      <c r="U143" s="1"/>
    </row>
    <row r="144" spans="15:21" x14ac:dyDescent="0.45">
      <c r="O144" s="1"/>
      <c r="P144" s="1"/>
      <c r="Q144" s="1"/>
      <c r="R144" s="1"/>
      <c r="S144" s="1"/>
      <c r="T144" s="1"/>
      <c r="U144" s="1"/>
    </row>
    <row r="145" spans="15:21" x14ac:dyDescent="0.45">
      <c r="O145" s="1"/>
      <c r="P145" s="1"/>
      <c r="Q145" s="1"/>
      <c r="R145" s="1"/>
      <c r="S145" s="1"/>
      <c r="T145" s="1"/>
      <c r="U145" s="1"/>
    </row>
    <row r="146" spans="15:21" x14ac:dyDescent="0.45">
      <c r="O146" s="1"/>
      <c r="P146" s="1"/>
      <c r="Q146" s="1"/>
      <c r="R146" s="1"/>
      <c r="S146" s="1"/>
      <c r="T146" s="1"/>
      <c r="U146" s="1"/>
    </row>
    <row r="147" spans="15:21" x14ac:dyDescent="0.45">
      <c r="O147" s="1"/>
      <c r="P147" s="1"/>
      <c r="Q147" s="1"/>
      <c r="R147" s="1"/>
      <c r="S147" s="1"/>
      <c r="T147" s="1"/>
      <c r="U147" s="1"/>
    </row>
    <row r="148" spans="15:21" x14ac:dyDescent="0.45">
      <c r="O148" s="1"/>
      <c r="P148" s="1"/>
      <c r="Q148" s="1"/>
      <c r="R148" s="1"/>
      <c r="S148" s="1"/>
      <c r="T148" s="1"/>
      <c r="U148" s="1"/>
    </row>
    <row r="149" spans="15:21" x14ac:dyDescent="0.45">
      <c r="O149" s="1"/>
      <c r="P149" s="1"/>
      <c r="Q149" s="1"/>
      <c r="R149" s="1"/>
      <c r="S149" s="1"/>
      <c r="T149" s="1"/>
      <c r="U149" s="1"/>
    </row>
    <row r="150" spans="15:21" x14ac:dyDescent="0.45">
      <c r="O150" s="1"/>
      <c r="P150" s="1"/>
      <c r="Q150" s="1"/>
      <c r="R150" s="1"/>
      <c r="S150" s="1"/>
      <c r="T150" s="1"/>
      <c r="U150" s="1"/>
    </row>
    <row r="151" spans="15:21" x14ac:dyDescent="0.45">
      <c r="O151" s="1"/>
      <c r="P151" s="1"/>
      <c r="Q151" s="1"/>
      <c r="R151" s="1"/>
      <c r="S151" s="1"/>
      <c r="T151" s="1"/>
      <c r="U151" s="1"/>
    </row>
    <row r="152" spans="15:21" x14ac:dyDescent="0.45">
      <c r="O152" s="1"/>
      <c r="P152" s="1"/>
      <c r="Q152" s="1"/>
      <c r="R152" s="1"/>
      <c r="S152" s="1"/>
      <c r="T152" s="1"/>
      <c r="U152" s="1"/>
    </row>
    <row r="153" spans="15:21" x14ac:dyDescent="0.45">
      <c r="O153" s="1"/>
      <c r="P153" s="1"/>
      <c r="Q153" s="1"/>
      <c r="R153" s="1"/>
      <c r="S153" s="1"/>
      <c r="T153" s="1"/>
      <c r="U153" s="1"/>
    </row>
    <row r="154" spans="15:21" x14ac:dyDescent="0.45">
      <c r="O154" s="1"/>
      <c r="P154" s="1"/>
      <c r="Q154" s="1"/>
      <c r="R154" s="1"/>
      <c r="S154" s="1"/>
      <c r="T154" s="1"/>
      <c r="U154" s="1"/>
    </row>
    <row r="155" spans="15:21" x14ac:dyDescent="0.45">
      <c r="O155" s="1"/>
      <c r="P155" s="1"/>
      <c r="Q155" s="1"/>
      <c r="R155" s="1"/>
      <c r="S155" s="1"/>
      <c r="T155" s="1"/>
      <c r="U155" s="1"/>
    </row>
    <row r="156" spans="15:21" x14ac:dyDescent="0.45">
      <c r="O156" s="1"/>
      <c r="P156" s="1"/>
      <c r="Q156" s="1"/>
      <c r="R156" s="1"/>
      <c r="S156" s="1"/>
      <c r="T156" s="1"/>
      <c r="U156" s="1"/>
    </row>
    <row r="157" spans="15:21" x14ac:dyDescent="0.45">
      <c r="O157" s="1"/>
      <c r="P157" s="1"/>
      <c r="Q157" s="1"/>
      <c r="R157" s="1"/>
      <c r="S157" s="1"/>
      <c r="T157" s="1"/>
      <c r="U157" s="1"/>
    </row>
    <row r="158" spans="15:21" x14ac:dyDescent="0.45">
      <c r="O158" s="1"/>
      <c r="P158" s="1"/>
      <c r="Q158" s="1"/>
      <c r="R158" s="1"/>
      <c r="S158" s="1"/>
      <c r="T158" s="1"/>
      <c r="U158" s="1"/>
    </row>
    <row r="159" spans="15:21" x14ac:dyDescent="0.45">
      <c r="O159" s="1"/>
      <c r="P159" s="1"/>
      <c r="Q159" s="1"/>
      <c r="R159" s="1"/>
      <c r="S159" s="1"/>
      <c r="T159" s="1"/>
      <c r="U159" s="1"/>
    </row>
    <row r="160" spans="15:21" x14ac:dyDescent="0.45">
      <c r="O160" s="1"/>
      <c r="P160" s="1"/>
      <c r="Q160" s="1"/>
      <c r="R160" s="1"/>
      <c r="S160" s="1"/>
      <c r="T160" s="1"/>
      <c r="U160" s="1"/>
    </row>
    <row r="161" spans="15:21" x14ac:dyDescent="0.45">
      <c r="O161" s="1"/>
      <c r="P161" s="1"/>
      <c r="Q161" s="1"/>
      <c r="R161" s="1"/>
      <c r="S161" s="1"/>
      <c r="T161" s="1"/>
      <c r="U161" s="1"/>
    </row>
    <row r="162" spans="15:21" x14ac:dyDescent="0.45">
      <c r="O162" s="1"/>
      <c r="P162" s="1"/>
      <c r="Q162" s="1"/>
      <c r="R162" s="1"/>
      <c r="S162" s="1"/>
      <c r="T162" s="1"/>
      <c r="U162" s="1"/>
    </row>
    <row r="163" spans="15:21" x14ac:dyDescent="0.45">
      <c r="O163" s="1"/>
      <c r="P163" s="1"/>
      <c r="Q163" s="1"/>
      <c r="R163" s="1"/>
      <c r="S163" s="1"/>
      <c r="T163" s="1"/>
      <c r="U163" s="1"/>
    </row>
    <row r="164" spans="15:21" x14ac:dyDescent="0.45">
      <c r="O164" s="1"/>
      <c r="P164" s="1"/>
      <c r="Q164" s="1"/>
      <c r="R164" s="1"/>
      <c r="S164" s="1"/>
      <c r="T164" s="1"/>
      <c r="U164" s="1"/>
    </row>
    <row r="165" spans="15:21" x14ac:dyDescent="0.45">
      <c r="O165" s="1"/>
      <c r="P165" s="1"/>
      <c r="Q165" s="1"/>
      <c r="R165" s="1"/>
      <c r="S165" s="1"/>
      <c r="T165" s="1"/>
      <c r="U165" s="1"/>
    </row>
    <row r="166" spans="15:21" x14ac:dyDescent="0.45">
      <c r="O166" s="1"/>
      <c r="P166" s="1"/>
      <c r="Q166" s="1"/>
      <c r="R166" s="1"/>
      <c r="S166" s="1"/>
      <c r="T166" s="1"/>
      <c r="U166" s="1"/>
    </row>
    <row r="167" spans="15:21" x14ac:dyDescent="0.45">
      <c r="O167" s="1"/>
      <c r="P167" s="1"/>
      <c r="Q167" s="1"/>
      <c r="R167" s="1"/>
      <c r="S167" s="1"/>
      <c r="T167" s="1"/>
      <c r="U167" s="1"/>
    </row>
    <row r="168" spans="15:21" x14ac:dyDescent="0.45">
      <c r="O168" s="1"/>
      <c r="P168" s="1"/>
      <c r="Q168" s="1"/>
      <c r="R168" s="1"/>
      <c r="S168" s="1"/>
      <c r="T168" s="1"/>
      <c r="U168" s="1"/>
    </row>
    <row r="169" spans="15:21" x14ac:dyDescent="0.45">
      <c r="O169" s="1"/>
      <c r="P169" s="1"/>
      <c r="Q169" s="1"/>
      <c r="R169" s="1"/>
      <c r="S169" s="1"/>
      <c r="T169" s="1"/>
      <c r="U169" s="1"/>
    </row>
    <row r="170" spans="15:21" x14ac:dyDescent="0.45">
      <c r="O170" s="1"/>
      <c r="P170" s="1"/>
      <c r="Q170" s="1"/>
      <c r="R170" s="1"/>
      <c r="S170" s="1"/>
      <c r="T170" s="1"/>
      <c r="U170" s="1"/>
    </row>
    <row r="171" spans="15:21" x14ac:dyDescent="0.45">
      <c r="O171" s="1"/>
      <c r="P171" s="1"/>
      <c r="Q171" s="1"/>
      <c r="R171" s="1"/>
      <c r="S171" s="1"/>
      <c r="T171" s="1"/>
      <c r="U171" s="1"/>
    </row>
    <row r="172" spans="15:21" x14ac:dyDescent="0.45">
      <c r="O172" s="1"/>
      <c r="P172" s="1"/>
      <c r="Q172" s="1"/>
      <c r="R172" s="1"/>
      <c r="S172" s="1"/>
      <c r="T172" s="1"/>
      <c r="U172" s="1"/>
    </row>
    <row r="173" spans="15:21" x14ac:dyDescent="0.45">
      <c r="O173" s="1"/>
      <c r="P173" s="1"/>
      <c r="Q173" s="1"/>
      <c r="R173" s="1"/>
      <c r="S173" s="1"/>
      <c r="T173" s="1"/>
      <c r="U173" s="1"/>
    </row>
    <row r="174" spans="15:21" x14ac:dyDescent="0.45">
      <c r="O174" s="1"/>
      <c r="P174" s="1"/>
      <c r="Q174" s="1"/>
      <c r="R174" s="1"/>
      <c r="S174" s="1"/>
      <c r="T174" s="1"/>
      <c r="U174" s="1"/>
    </row>
    <row r="175" spans="15:21" x14ac:dyDescent="0.45">
      <c r="O175" s="1"/>
      <c r="P175" s="1"/>
      <c r="Q175" s="1"/>
      <c r="R175" s="1"/>
      <c r="S175" s="1"/>
      <c r="T175" s="1"/>
      <c r="U175" s="1"/>
    </row>
    <row r="176" spans="15:21" x14ac:dyDescent="0.45">
      <c r="O176" s="1"/>
      <c r="P176" s="1"/>
      <c r="Q176" s="1"/>
      <c r="R176" s="1"/>
      <c r="S176" s="1"/>
      <c r="T176" s="1"/>
      <c r="U176" s="1"/>
    </row>
    <row r="177" spans="15:21" x14ac:dyDescent="0.45">
      <c r="O177" s="1"/>
      <c r="P177" s="1"/>
      <c r="Q177" s="1"/>
      <c r="R177" s="1"/>
      <c r="S177" s="1"/>
      <c r="T177" s="1"/>
      <c r="U177" s="1"/>
    </row>
    <row r="178" spans="15:21" x14ac:dyDescent="0.45">
      <c r="O178" s="1"/>
      <c r="P178" s="1"/>
      <c r="Q178" s="1"/>
      <c r="R178" s="1"/>
      <c r="S178" s="1"/>
      <c r="T178" s="1"/>
      <c r="U178" s="1"/>
    </row>
    <row r="179" spans="15:21" x14ac:dyDescent="0.45">
      <c r="O179" s="1"/>
      <c r="P179" s="1"/>
      <c r="Q179" s="1"/>
      <c r="R179" s="1"/>
      <c r="S179" s="1"/>
      <c r="T179" s="1"/>
      <c r="U179" s="1"/>
    </row>
    <row r="180" spans="15:21" x14ac:dyDescent="0.45">
      <c r="O180" s="1"/>
      <c r="P180" s="1"/>
      <c r="Q180" s="1"/>
      <c r="R180" s="1"/>
      <c r="S180" s="1"/>
      <c r="T180" s="1"/>
      <c r="U180" s="1"/>
    </row>
    <row r="181" spans="15:21" x14ac:dyDescent="0.45">
      <c r="O181" s="1"/>
      <c r="P181" s="1"/>
      <c r="Q181" s="1"/>
      <c r="R181" s="1"/>
      <c r="S181" s="1"/>
      <c r="T181" s="1"/>
      <c r="U181" s="1"/>
    </row>
    <row r="182" spans="15:21" x14ac:dyDescent="0.45">
      <c r="O182" s="1"/>
      <c r="P182" s="1"/>
      <c r="Q182" s="1"/>
      <c r="R182" s="1"/>
      <c r="S182" s="1"/>
      <c r="T182" s="1"/>
      <c r="U182" s="1"/>
    </row>
    <row r="183" spans="15:21" x14ac:dyDescent="0.45">
      <c r="O183" s="1"/>
      <c r="P183" s="1"/>
      <c r="Q183" s="1"/>
      <c r="R183" s="1"/>
      <c r="S183" s="1"/>
      <c r="T183" s="1"/>
      <c r="U183" s="1"/>
    </row>
    <row r="184" spans="15:21" x14ac:dyDescent="0.45">
      <c r="O184" s="1"/>
      <c r="P184" s="1"/>
      <c r="Q184" s="1"/>
      <c r="R184" s="1"/>
      <c r="S184" s="1"/>
      <c r="T184" s="1"/>
      <c r="U184" s="1"/>
    </row>
    <row r="185" spans="15:21" x14ac:dyDescent="0.45">
      <c r="O185" s="1"/>
      <c r="P185" s="1"/>
      <c r="Q185" s="1"/>
      <c r="R185" s="1"/>
      <c r="S185" s="1"/>
      <c r="T185" s="1"/>
      <c r="U185" s="1"/>
    </row>
    <row r="186" spans="15:21" x14ac:dyDescent="0.45">
      <c r="O186" s="1"/>
      <c r="P186" s="1"/>
      <c r="Q186" s="1"/>
      <c r="R186" s="1"/>
      <c r="S186" s="1"/>
      <c r="T186" s="1"/>
      <c r="U186" s="1"/>
    </row>
    <row r="187" spans="15:21" x14ac:dyDescent="0.45">
      <c r="O187" s="1"/>
      <c r="P187" s="1"/>
      <c r="Q187" s="1"/>
      <c r="R187" s="1"/>
      <c r="S187" s="1"/>
      <c r="T187" s="1"/>
      <c r="U187" s="1"/>
    </row>
    <row r="188" spans="15:21" x14ac:dyDescent="0.45">
      <c r="O188" s="1"/>
      <c r="P188" s="1"/>
      <c r="Q188" s="1"/>
      <c r="R188" s="1"/>
      <c r="S188" s="1"/>
      <c r="T188" s="1"/>
      <c r="U188" s="1"/>
    </row>
    <row r="189" spans="15:21" x14ac:dyDescent="0.45">
      <c r="O189" s="1"/>
      <c r="P189" s="1"/>
      <c r="Q189" s="1"/>
      <c r="R189" s="1"/>
      <c r="S189" s="1"/>
      <c r="T189" s="1"/>
      <c r="U189" s="1"/>
    </row>
    <row r="190" spans="15:21" x14ac:dyDescent="0.45">
      <c r="O190" s="1"/>
      <c r="P190" s="1"/>
      <c r="Q190" s="1"/>
      <c r="R190" s="1"/>
      <c r="S190" s="1"/>
      <c r="T190" s="1"/>
      <c r="U190" s="1"/>
    </row>
    <row r="191" spans="15:21" x14ac:dyDescent="0.45">
      <c r="O191" s="1"/>
      <c r="P191" s="1"/>
      <c r="Q191" s="1"/>
      <c r="R191" s="1"/>
      <c r="S191" s="1"/>
      <c r="T191" s="1"/>
      <c r="U191" s="1"/>
    </row>
    <row r="192" spans="15:21" x14ac:dyDescent="0.45">
      <c r="O192" s="1"/>
      <c r="P192" s="1"/>
      <c r="Q192" s="1"/>
      <c r="R192" s="1"/>
      <c r="S192" s="1"/>
      <c r="T192" s="1"/>
      <c r="U192" s="1"/>
    </row>
    <row r="193" spans="15:21" x14ac:dyDescent="0.45">
      <c r="O193" s="1"/>
      <c r="P193" s="1"/>
      <c r="Q193" s="1"/>
      <c r="R193" s="1"/>
      <c r="S193" s="1"/>
      <c r="T193" s="1"/>
      <c r="U193" s="1"/>
    </row>
    <row r="194" spans="15:21" x14ac:dyDescent="0.45">
      <c r="O194" s="1"/>
      <c r="P194" s="1"/>
      <c r="Q194" s="1"/>
      <c r="R194" s="1"/>
      <c r="S194" s="1"/>
      <c r="T194" s="1"/>
      <c r="U194" s="1"/>
    </row>
    <row r="195" spans="15:21" x14ac:dyDescent="0.45">
      <c r="O195" s="1"/>
      <c r="P195" s="1"/>
      <c r="Q195" s="1"/>
      <c r="R195" s="1"/>
      <c r="S195" s="1"/>
      <c r="T195" s="1"/>
      <c r="U195" s="1"/>
    </row>
    <row r="196" spans="15:21" x14ac:dyDescent="0.45">
      <c r="O196" s="1"/>
      <c r="P196" s="1"/>
      <c r="Q196" s="1"/>
      <c r="R196" s="1"/>
      <c r="S196" s="1"/>
      <c r="T196" s="1"/>
      <c r="U196" s="1"/>
    </row>
    <row r="197" spans="15:21" x14ac:dyDescent="0.45">
      <c r="O197" s="1"/>
      <c r="P197" s="1"/>
      <c r="Q197" s="1"/>
      <c r="R197" s="1"/>
      <c r="S197" s="1"/>
      <c r="T197" s="1"/>
      <c r="U197" s="1"/>
    </row>
    <row r="198" spans="15:21" x14ac:dyDescent="0.45">
      <c r="O198" s="1"/>
      <c r="P198" s="1"/>
      <c r="Q198" s="1"/>
      <c r="R198" s="1"/>
      <c r="S198" s="1"/>
      <c r="T198" s="1"/>
      <c r="U198" s="1"/>
    </row>
    <row r="199" spans="15:21" x14ac:dyDescent="0.45">
      <c r="O199" s="1"/>
      <c r="P199" s="1"/>
      <c r="Q199" s="1"/>
      <c r="R199" s="1"/>
      <c r="S199" s="1"/>
      <c r="T199" s="1"/>
      <c r="U199" s="1"/>
    </row>
    <row r="200" spans="15:21" x14ac:dyDescent="0.45">
      <c r="O200" s="1"/>
      <c r="P200" s="1"/>
      <c r="Q200" s="1"/>
      <c r="R200" s="1"/>
      <c r="S200" s="1"/>
      <c r="T200" s="1"/>
      <c r="U200" s="1"/>
    </row>
    <row r="201" spans="15:21" x14ac:dyDescent="0.45">
      <c r="O201" s="1"/>
      <c r="P201" s="1"/>
      <c r="Q201" s="1"/>
      <c r="R201" s="1"/>
      <c r="S201" s="1"/>
      <c r="T201" s="1"/>
      <c r="U201" s="1"/>
    </row>
    <row r="202" spans="15:21" x14ac:dyDescent="0.45">
      <c r="O202" s="1"/>
      <c r="P202" s="1"/>
      <c r="Q202" s="1"/>
      <c r="R202" s="1"/>
      <c r="S202" s="1"/>
      <c r="T202" s="1"/>
      <c r="U202" s="1"/>
    </row>
    <row r="203" spans="15:21" x14ac:dyDescent="0.45">
      <c r="O203" s="1"/>
      <c r="P203" s="1"/>
      <c r="Q203" s="1"/>
      <c r="R203" s="1"/>
      <c r="S203" s="1"/>
      <c r="T203" s="1"/>
      <c r="U203" s="1"/>
    </row>
    <row r="204" spans="15:21" x14ac:dyDescent="0.45">
      <c r="O204" s="1"/>
      <c r="P204" s="1"/>
      <c r="Q204" s="1"/>
      <c r="R204" s="1"/>
      <c r="S204" s="1"/>
      <c r="T204" s="1"/>
      <c r="U204" s="1"/>
    </row>
    <row r="205" spans="15:21" x14ac:dyDescent="0.45">
      <c r="O205" s="1"/>
      <c r="P205" s="1"/>
      <c r="Q205" s="1"/>
      <c r="R205" s="1"/>
      <c r="S205" s="1"/>
      <c r="T205" s="1"/>
      <c r="U205" s="1"/>
    </row>
    <row r="206" spans="15:21" x14ac:dyDescent="0.45">
      <c r="O206" s="1"/>
      <c r="P206" s="1"/>
      <c r="Q206" s="1"/>
      <c r="R206" s="1"/>
      <c r="S206" s="1"/>
      <c r="T206" s="1"/>
      <c r="U206" s="1"/>
    </row>
    <row r="207" spans="15:21" x14ac:dyDescent="0.45">
      <c r="O207" s="1"/>
      <c r="P207" s="1"/>
      <c r="Q207" s="1"/>
      <c r="R207" s="1"/>
      <c r="S207" s="1"/>
      <c r="T207" s="1"/>
      <c r="U207" s="1"/>
    </row>
    <row r="208" spans="15:21" x14ac:dyDescent="0.45">
      <c r="O208" s="1"/>
      <c r="P208" s="1"/>
      <c r="Q208" s="1"/>
      <c r="R208" s="1"/>
      <c r="S208" s="1"/>
      <c r="T208" s="1"/>
      <c r="U208" s="1"/>
    </row>
    <row r="209" spans="15:21" x14ac:dyDescent="0.45">
      <c r="O209" s="1"/>
      <c r="P209" s="1"/>
      <c r="Q209" s="1"/>
      <c r="R209" s="1"/>
      <c r="S209" s="1"/>
      <c r="T209" s="1"/>
      <c r="U209" s="1"/>
    </row>
    <row r="210" spans="15:21" x14ac:dyDescent="0.45">
      <c r="O210" s="1"/>
      <c r="P210" s="1"/>
      <c r="Q210" s="1"/>
      <c r="R210" s="1"/>
      <c r="S210" s="1"/>
      <c r="T210" s="1"/>
      <c r="U210" s="1"/>
    </row>
    <row r="211" spans="15:21" x14ac:dyDescent="0.45">
      <c r="O211" s="1"/>
      <c r="P211" s="1"/>
      <c r="Q211" s="1"/>
      <c r="R211" s="1"/>
      <c r="S211" s="1"/>
      <c r="T211" s="1"/>
      <c r="U211" s="1"/>
    </row>
    <row r="212" spans="15:21" x14ac:dyDescent="0.45">
      <c r="O212" s="1"/>
      <c r="P212" s="1"/>
      <c r="Q212" s="1"/>
      <c r="R212" s="1"/>
      <c r="S212" s="1"/>
      <c r="T212" s="1"/>
      <c r="U212" s="1"/>
    </row>
    <row r="213" spans="15:21" x14ac:dyDescent="0.45">
      <c r="O213" s="1"/>
      <c r="P213" s="1"/>
      <c r="Q213" s="1"/>
      <c r="R213" s="1"/>
      <c r="S213" s="1"/>
      <c r="T213" s="1"/>
      <c r="U213" s="1"/>
    </row>
    <row r="214" spans="15:21" x14ac:dyDescent="0.45">
      <c r="O214" s="1"/>
      <c r="P214" s="1"/>
      <c r="Q214" s="1"/>
      <c r="R214" s="1"/>
      <c r="S214" s="1"/>
      <c r="T214" s="1"/>
      <c r="U214" s="1"/>
    </row>
    <row r="215" spans="15:21" x14ac:dyDescent="0.45">
      <c r="O215" s="1"/>
      <c r="P215" s="1"/>
      <c r="Q215" s="1"/>
      <c r="R215" s="1"/>
      <c r="S215" s="1"/>
      <c r="T215" s="1"/>
      <c r="U215" s="1"/>
    </row>
    <row r="216" spans="15:21" x14ac:dyDescent="0.45">
      <c r="O216" s="1"/>
      <c r="P216" s="1"/>
      <c r="Q216" s="1"/>
      <c r="R216" s="1"/>
      <c r="S216" s="1"/>
      <c r="T216" s="1"/>
      <c r="U216" s="1"/>
    </row>
    <row r="217" spans="15:21" x14ac:dyDescent="0.45">
      <c r="O217" s="1"/>
      <c r="P217" s="1"/>
      <c r="Q217" s="1"/>
      <c r="R217" s="1"/>
      <c r="S217" s="1"/>
      <c r="T217" s="1"/>
      <c r="U217" s="1"/>
    </row>
    <row r="218" spans="15:21" x14ac:dyDescent="0.45">
      <c r="O218" s="1"/>
      <c r="P218" s="1"/>
      <c r="Q218" s="1"/>
      <c r="R218" s="1"/>
      <c r="S218" s="1"/>
      <c r="T218" s="1"/>
      <c r="U218" s="1"/>
    </row>
    <row r="219" spans="15:21" x14ac:dyDescent="0.45">
      <c r="O219" s="1"/>
      <c r="P219" s="1"/>
      <c r="Q219" s="1"/>
      <c r="R219" s="1"/>
      <c r="S219" s="1"/>
      <c r="T219" s="1"/>
      <c r="U219" s="1"/>
    </row>
    <row r="220" spans="15:21" x14ac:dyDescent="0.45">
      <c r="O220" s="1"/>
      <c r="P220" s="1"/>
      <c r="Q220" s="1"/>
      <c r="R220" s="1"/>
      <c r="S220" s="1"/>
      <c r="T220" s="1"/>
      <c r="U220" s="1"/>
    </row>
    <row r="221" spans="15:21" x14ac:dyDescent="0.45">
      <c r="O221" s="1"/>
      <c r="P221" s="1"/>
      <c r="Q221" s="1"/>
      <c r="R221" s="1"/>
      <c r="S221" s="1"/>
      <c r="T221" s="1"/>
      <c r="U221" s="1"/>
    </row>
    <row r="222" spans="15:21" x14ac:dyDescent="0.45">
      <c r="O222" s="1"/>
      <c r="P222" s="1"/>
      <c r="Q222" s="1"/>
      <c r="R222" s="1"/>
      <c r="S222" s="1"/>
      <c r="T222" s="1"/>
      <c r="U222" s="1"/>
    </row>
    <row r="223" spans="15:21" x14ac:dyDescent="0.45">
      <c r="O223" s="1"/>
      <c r="P223" s="1"/>
      <c r="Q223" s="1"/>
      <c r="R223" s="1"/>
      <c r="S223" s="1"/>
      <c r="T223" s="1"/>
      <c r="U223" s="1"/>
    </row>
    <row r="224" spans="15:21" x14ac:dyDescent="0.45">
      <c r="O224" s="1"/>
      <c r="P224" s="1"/>
      <c r="Q224" s="1"/>
      <c r="R224" s="1"/>
      <c r="S224" s="1"/>
      <c r="T224" s="1"/>
      <c r="U224" s="1"/>
    </row>
    <row r="225" spans="15:21" x14ac:dyDescent="0.45">
      <c r="O225" s="1"/>
      <c r="P225" s="1"/>
      <c r="Q225" s="1"/>
      <c r="R225" s="1"/>
      <c r="S225" s="1"/>
      <c r="T225" s="1"/>
      <c r="U225" s="1"/>
    </row>
    <row r="226" spans="15:21" x14ac:dyDescent="0.45">
      <c r="O226" s="1"/>
      <c r="P226" s="1"/>
      <c r="Q226" s="1"/>
      <c r="R226" s="1"/>
      <c r="S226" s="1"/>
      <c r="T226" s="1"/>
      <c r="U226" s="1"/>
    </row>
    <row r="227" spans="15:21" x14ac:dyDescent="0.45">
      <c r="O227" s="1"/>
      <c r="P227" s="1"/>
      <c r="Q227" s="1"/>
      <c r="R227" s="1"/>
      <c r="S227" s="1"/>
      <c r="T227" s="1"/>
      <c r="U227" s="1"/>
    </row>
    <row r="228" spans="15:21" x14ac:dyDescent="0.45">
      <c r="O228" s="1"/>
      <c r="P228" s="1"/>
      <c r="Q228" s="1"/>
      <c r="R228" s="1"/>
      <c r="S228" s="1"/>
      <c r="T228" s="1"/>
      <c r="U228" s="1"/>
    </row>
    <row r="229" spans="15:21" x14ac:dyDescent="0.45">
      <c r="O229" s="1"/>
      <c r="P229" s="1"/>
      <c r="Q229" s="1"/>
      <c r="R229" s="1"/>
      <c r="S229" s="1"/>
      <c r="T229" s="1"/>
      <c r="U229" s="1"/>
    </row>
    <row r="230" spans="15:21" x14ac:dyDescent="0.45">
      <c r="O230" s="1"/>
      <c r="P230" s="1"/>
      <c r="Q230" s="1"/>
      <c r="R230" s="1"/>
      <c r="S230" s="1"/>
      <c r="T230" s="1"/>
      <c r="U230" s="1"/>
    </row>
    <row r="231" spans="15:21" x14ac:dyDescent="0.45">
      <c r="O231" s="1"/>
      <c r="P231" s="1"/>
      <c r="Q231" s="1"/>
      <c r="R231" s="1"/>
      <c r="S231" s="1"/>
      <c r="T231" s="1"/>
      <c r="U231" s="1"/>
    </row>
    <row r="232" spans="15:21" x14ac:dyDescent="0.45">
      <c r="O232" s="1"/>
      <c r="P232" s="1"/>
      <c r="Q232" s="1"/>
      <c r="R232" s="1"/>
      <c r="S232" s="1"/>
      <c r="T232" s="1"/>
      <c r="U232" s="1"/>
    </row>
    <row r="233" spans="15:21" x14ac:dyDescent="0.45">
      <c r="O233" s="1"/>
      <c r="P233" s="1"/>
      <c r="Q233" s="1"/>
      <c r="R233" s="1"/>
      <c r="S233" s="1"/>
      <c r="T233" s="1"/>
      <c r="U233" s="1"/>
    </row>
    <row r="234" spans="15:21" x14ac:dyDescent="0.45">
      <c r="O234" s="1"/>
      <c r="P234" s="1"/>
      <c r="Q234" s="1"/>
      <c r="R234" s="1"/>
      <c r="S234" s="1"/>
      <c r="T234" s="1"/>
      <c r="U234" s="1"/>
    </row>
    <row r="235" spans="15:21" x14ac:dyDescent="0.45">
      <c r="O235" s="1"/>
      <c r="P235" s="1"/>
      <c r="Q235" s="1"/>
      <c r="R235" s="1"/>
      <c r="S235" s="1"/>
      <c r="T235" s="1"/>
      <c r="U235" s="1"/>
    </row>
    <row r="236" spans="15:21" x14ac:dyDescent="0.45">
      <c r="O236" s="1"/>
      <c r="P236" s="1"/>
      <c r="Q236" s="1"/>
      <c r="R236" s="1"/>
      <c r="S236" s="1"/>
      <c r="T236" s="1"/>
      <c r="U236" s="1"/>
    </row>
    <row r="237" spans="15:21" x14ac:dyDescent="0.45">
      <c r="O237" s="1"/>
      <c r="P237" s="1"/>
      <c r="Q237" s="1"/>
      <c r="R237" s="1"/>
      <c r="S237" s="1"/>
      <c r="T237" s="1"/>
      <c r="U237" s="1"/>
    </row>
    <row r="238" spans="15:21" x14ac:dyDescent="0.45">
      <c r="O238" s="1"/>
      <c r="P238" s="1"/>
      <c r="Q238" s="1"/>
      <c r="R238" s="1"/>
      <c r="S238" s="1"/>
      <c r="T238" s="1"/>
      <c r="U238" s="1"/>
    </row>
    <row r="239" spans="15:21" x14ac:dyDescent="0.45">
      <c r="O239" s="1"/>
      <c r="P239" s="1"/>
      <c r="Q239" s="1"/>
      <c r="R239" s="1"/>
      <c r="S239" s="1"/>
      <c r="T239" s="1"/>
      <c r="U239" s="1"/>
    </row>
  </sheetData>
  <mergeCells count="7">
    <mergeCell ref="P2:Q2"/>
    <mergeCell ref="A1:C1"/>
    <mergeCell ref="J2:M2"/>
    <mergeCell ref="F6:H6"/>
    <mergeCell ref="F7:H7"/>
    <mergeCell ref="F11:G11"/>
    <mergeCell ref="A9:B9"/>
  </mergeCells>
  <conditionalFormatting sqref="F4">
    <cfRule type="expression" dxfId="1" priority="2">
      <formula>$E$3="нет"</formula>
    </cfRule>
  </conditionalFormatting>
  <conditionalFormatting sqref="E3">
    <cfRule type="expression" dxfId="0" priority="1">
      <formula>$E$3="нет"</formula>
    </cfRule>
  </conditionalFormatting>
  <dataValidations count="1">
    <dataValidation type="list" allowBlank="1" showInputMessage="1" showErrorMessage="1" sqref="E3" xr:uid="{3F9B9760-F711-42CE-B8B9-44BD080E39F5}">
      <formula1>$S$2:$S$3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Шторм Дмитрий</dc:creator>
  <cp:lastModifiedBy>Дмитрий Шторм</cp:lastModifiedBy>
  <dcterms:created xsi:type="dcterms:W3CDTF">2024-03-26T12:46:24Z</dcterms:created>
  <dcterms:modified xsi:type="dcterms:W3CDTF">2026-02-17T06:28:44Z</dcterms:modified>
</cp:coreProperties>
</file>